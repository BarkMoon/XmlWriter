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isaku\CardGameElements\Tools\XmlWriter\Test_Excel\"/>
    </mc:Choice>
  </mc:AlternateContent>
  <xr:revisionPtr revIDLastSave="0" documentId="13_ncr:1_{52FF453B-FD4B-438A-9AFE-4A6FCDD4AF1E}" xr6:coauthVersionLast="47" xr6:coauthVersionMax="47" xr10:uidLastSave="{00000000-0000-0000-0000-000000000000}"/>
  <bookViews>
    <workbookView xWindow="-103" yWindow="-103" windowWidth="33120" windowHeight="18000" firstSheet="1" activeTab="7" xr2:uid="{6D81F000-C987-446C-97CF-2A3DA721D747}"/>
  </bookViews>
  <sheets>
    <sheet name="CardCollection_MTG" sheetId="4" r:id="rId1"/>
    <sheet name="Card_MTG" sheetId="5" r:id="rId2"/>
    <sheet name="Card_MTG_Abilities" sheetId="1" r:id="rId3"/>
    <sheet name="CardTypeName" sheetId="12" r:id="rId4"/>
    <sheet name="AbilityTypeName" sheetId="6" r:id="rId5"/>
    <sheet name="TriggerEventName" sheetId="8" r:id="rId6"/>
    <sheet name="Card_FIN_G" sheetId="11" r:id="rId7"/>
    <sheet name="Card_FIN_G_Abilitie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5" l="1"/>
  <c r="D33" i="15"/>
  <c r="D31" i="15"/>
  <c r="D30" i="15"/>
  <c r="D34" i="15"/>
  <c r="D26" i="15"/>
  <c r="D25" i="15"/>
  <c r="D20" i="15"/>
  <c r="D16" i="15"/>
  <c r="D7" i="15"/>
  <c r="D24" i="15"/>
  <c r="D22" i="15"/>
  <c r="D23" i="15"/>
  <c r="D28" i="15"/>
  <c r="D21" i="15"/>
  <c r="D27" i="15"/>
  <c r="D29" i="15"/>
  <c r="D12" i="15"/>
  <c r="D19" i="15"/>
  <c r="D17" i="15"/>
  <c r="D18" i="15"/>
  <c r="D15" i="15"/>
  <c r="D13" i="15"/>
  <c r="D14" i="15"/>
  <c r="D8" i="15"/>
  <c r="D9" i="15"/>
  <c r="D10" i="15"/>
  <c r="D11" i="15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D6" i="15"/>
  <c r="D5" i="15"/>
  <c r="D5" i="1"/>
  <c r="M5" i="11"/>
  <c r="L5" i="5"/>
  <c r="D16" i="11"/>
  <c r="D17" i="11"/>
  <c r="D18" i="11"/>
  <c r="D23" i="11"/>
  <c r="D21" i="11"/>
  <c r="D15" i="11"/>
  <c r="D20" i="11"/>
  <c r="D14" i="11"/>
  <c r="D8" i="11"/>
  <c r="D24" i="11"/>
  <c r="D26" i="11"/>
  <c r="D19" i="11"/>
  <c r="D9" i="11"/>
  <c r="D25" i="11"/>
  <c r="D7" i="11"/>
  <c r="D6" i="11"/>
  <c r="D5" i="5"/>
  <c r="D5" i="11"/>
  <c r="D22" i="11"/>
  <c r="F32" i="15"/>
  <c r="F33" i="15"/>
  <c r="F31" i="15"/>
  <c r="D13" i="11"/>
  <c r="F30" i="15"/>
  <c r="F34" i="15"/>
  <c r="D12" i="11"/>
  <c r="D11" i="11"/>
  <c r="F26" i="15"/>
  <c r="F25" i="15"/>
  <c r="F20" i="15"/>
  <c r="F16" i="15"/>
  <c r="F7" i="15"/>
  <c r="F5" i="1" a="1"/>
  <c r="F14" i="15"/>
  <c r="F27" i="15"/>
  <c r="F17" i="15"/>
  <c r="F24" i="15"/>
  <c r="F5" i="15"/>
  <c r="F8" i="15"/>
  <c r="F29" i="15"/>
  <c r="F19" i="15"/>
  <c r="F22" i="15"/>
  <c r="F18" i="15"/>
  <c r="F23" i="15"/>
  <c r="F6" i="15"/>
  <c r="F13" i="15"/>
  <c r="F12" i="15"/>
  <c r="F10" i="15"/>
  <c r="F28" i="15"/>
  <c r="F21" i="15"/>
  <c r="F9" i="15"/>
  <c r="F15" i="15"/>
  <c r="F11" i="15"/>
  <c r="D10" i="11"/>
  <c r="F5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<sst xmlns="http://schemas.openxmlformats.org/spreadsheetml/2006/main" count="558" uniqueCount="263">
  <si>
    <t>カードID</t>
    <phoneticPr fontId="1"/>
  </si>
  <si>
    <t>Name.OriginalName:string</t>
    <phoneticPr fontId="1"/>
  </si>
  <si>
    <t>Id:int</t>
    <phoneticPr fontId="1"/>
  </si>
  <si>
    <t>カードコレクションID</t>
    <phoneticPr fontId="1"/>
  </si>
  <si>
    <t>カードデータ名</t>
    <rPh sb="6" eb="7">
      <t>メイ</t>
    </rPh>
    <phoneticPr fontId="1"/>
  </si>
  <si>
    <t>コレクション名フル(日本語)</t>
    <rPh sb="6" eb="7">
      <t>メイ</t>
    </rPh>
    <rPh sb="10" eb="13">
      <t>ニホンゴ</t>
    </rPh>
    <phoneticPr fontId="1"/>
  </si>
  <si>
    <t>リリース日</t>
    <rPh sb="4" eb="5">
      <t>ヒ</t>
    </rPh>
    <phoneticPr fontId="1"/>
  </si>
  <si>
    <t>Name.ShortName:string</t>
    <phoneticPr fontId="1"/>
  </si>
  <si>
    <t>識別名</t>
    <rPh sb="0" eb="2">
      <t>シキベツ</t>
    </rPh>
    <rPh sb="2" eb="3">
      <t>メイ</t>
    </rPh>
    <phoneticPr fontId="1"/>
  </si>
  <si>
    <t>ReleaseDate:string</t>
    <phoneticPr fontId="1"/>
  </si>
  <si>
    <t>Name.FullName:string</t>
    <phoneticPr fontId="1"/>
  </si>
  <si>
    <t>Name.CardDataName:string</t>
    <phoneticPr fontId="1"/>
  </si>
  <si>
    <t>CollectionId: int</t>
    <phoneticPr fontId="1"/>
  </si>
  <si>
    <t>1970-01-01</t>
    <phoneticPr fontId="1"/>
  </si>
  <si>
    <t>Error</t>
    <phoneticPr fontId="1"/>
  </si>
  <si>
    <t>FIN_G</t>
    <phoneticPr fontId="1"/>
  </si>
  <si>
    <t>マジック：ザ・ギャザリング——FINAL FANTASY_緑</t>
    <rPh sb="29" eb="30">
      <t>ミドリ</t>
    </rPh>
    <phoneticPr fontId="1"/>
  </si>
  <si>
    <t>Card_FIN_G</t>
    <phoneticPr fontId="1"/>
  </si>
  <si>
    <t>Magic: The Gathering</t>
    <phoneticPr fontId="1"/>
  </si>
  <si>
    <t>CardCollection_MTG</t>
    <phoneticPr fontId="1"/>
  </si>
  <si>
    <t>Land, Creature, Enchantment, Artifact, Instant, Sorcery, Planeswalker</t>
    <phoneticPr fontId="1"/>
  </si>
  <si>
    <t>サッズのヒナチョコボ</t>
    <phoneticPr fontId="1"/>
  </si>
  <si>
    <t>Properties.OriginalCardTypes:string[]</t>
    <phoneticPr fontId="1"/>
  </si>
  <si>
    <t>Properties.SubTypes:string[]</t>
    <phoneticPr fontId="1"/>
  </si>
  <si>
    <t>Legend, Beast, Bird, ...</t>
    <phoneticPr fontId="1"/>
  </si>
  <si>
    <t>Properties.KeywordAbilities:string[]</t>
    <phoneticPr fontId="1"/>
  </si>
  <si>
    <t>Flying, Flash, Deathtouch, Haste, Trample</t>
    <phoneticPr fontId="1"/>
  </si>
  <si>
    <t>G, 1G, 2GG, 1WG, 2</t>
    <phoneticPr fontId="1"/>
  </si>
  <si>
    <t>Status.OriginalPower:int</t>
    <phoneticPr fontId="1"/>
  </si>
  <si>
    <t>Status.OriginalToughness</t>
    <phoneticPr fontId="1"/>
  </si>
  <si>
    <t>#CollectionName:string</t>
    <phoneticPr fontId="1"/>
  </si>
  <si>
    <t>Cost.OriginalCost:string</t>
    <phoneticPr fontId="1"/>
  </si>
  <si>
    <t>string⇒Func&lt;CardFunctionParameter, bool&gt;</t>
    <phoneticPr fontId="1"/>
  </si>
  <si>
    <t>Cost.AdditionalCost:string</t>
    <phoneticPr fontId="1"/>
  </si>
  <si>
    <t>None</t>
    <phoneticPr fontId="1"/>
  </si>
  <si>
    <t>MTG</t>
    <phoneticPr fontId="1"/>
  </si>
  <si>
    <t>Name:string</t>
    <phoneticPr fontId="1"/>
  </si>
  <si>
    <t>ID</t>
    <phoneticPr fontId="1"/>
  </si>
  <si>
    <t>名前</t>
    <rPh sb="0" eb="2">
      <t>ナマエ</t>
    </rPh>
    <phoneticPr fontId="1"/>
  </si>
  <si>
    <t>Permanent</t>
    <phoneticPr fontId="1"/>
  </si>
  <si>
    <t>Trigger</t>
    <phoneticPr fontId="1"/>
  </si>
  <si>
    <t>Instant</t>
    <phoneticPr fontId="1"/>
  </si>
  <si>
    <t>Sorcery</t>
    <phoneticPr fontId="1"/>
  </si>
  <si>
    <t>←相手の番でもいつでも</t>
    <rPh sb="1" eb="3">
      <t>アイテ</t>
    </rPh>
    <rPh sb="4" eb="5">
      <t>バン</t>
    </rPh>
    <phoneticPr fontId="1"/>
  </si>
  <si>
    <t>←自分の番のメインフェーズのみ</t>
    <rPh sb="1" eb="3">
      <t>ジブン</t>
    </rPh>
    <rPh sb="4" eb="5">
      <t>バン</t>
    </rPh>
    <phoneticPr fontId="1"/>
  </si>
  <si>
    <t>←誘発効果</t>
    <rPh sb="1" eb="3">
      <t>ユウハツ</t>
    </rPh>
    <rPh sb="3" eb="5">
      <t>コウカ</t>
    </rPh>
    <phoneticPr fontId="1"/>
  </si>
  <si>
    <t>←永続効果</t>
    <rPh sb="1" eb="5">
      <t>エイゾクコウカ</t>
    </rPh>
    <phoneticPr fontId="1"/>
  </si>
  <si>
    <t>FuncName:string</t>
    <phoneticPr fontId="1"/>
  </si>
  <si>
    <t>Abilities:Abilities(Name:string)[]</t>
    <phoneticPr fontId="1"/>
  </si>
  <si>
    <t>(テーブル名)_AbilitiesのName:stringパラメーターで検索して、中身を展開。</t>
    <rPh sb="5" eb="6">
      <t>メイ</t>
    </rPh>
    <rPh sb="36" eb="38">
      <t>ケンサク</t>
    </rPh>
    <rPh sb="41" eb="43">
      <t>ナカミ</t>
    </rPh>
    <rPh sb="44" eb="46">
      <t>テンカイ</t>
    </rPh>
    <phoneticPr fontId="1"/>
  </si>
  <si>
    <t>Card_MTG_Abilities</t>
    <phoneticPr fontId="1"/>
  </si>
  <si>
    <t>Cost:string</t>
    <phoneticPr fontId="1"/>
  </si>
  <si>
    <t>AdditionalCost:string</t>
    <phoneticPr fontId="1"/>
  </si>
  <si>
    <t>能力ID</t>
    <rPh sb="0" eb="2">
      <t>ノウリョク</t>
    </rPh>
    <phoneticPr fontId="1"/>
  </si>
  <si>
    <t>能力名</t>
    <rPh sb="0" eb="2">
      <t>ノウリョク</t>
    </rPh>
    <rPh sb="2" eb="3">
      <t>メイ</t>
    </rPh>
    <phoneticPr fontId="1"/>
  </si>
  <si>
    <t>基本コスト</t>
    <rPh sb="0" eb="2">
      <t>キホン</t>
    </rPh>
    <phoneticPr fontId="1"/>
  </si>
  <si>
    <t>複雑な処理を行う追加コスト</t>
    <rPh sb="0" eb="2">
      <t>フクザツ</t>
    </rPh>
    <rPh sb="3" eb="5">
      <t>ショリ</t>
    </rPh>
    <rPh sb="6" eb="7">
      <t>オコナ</t>
    </rPh>
    <rPh sb="8" eb="10">
      <t>ツイカ</t>
    </rPh>
    <phoneticPr fontId="1"/>
  </si>
  <si>
    <t>能力実行時の関数</t>
    <rPh sb="0" eb="2">
      <t>ノウリョク</t>
    </rPh>
    <rPh sb="2" eb="5">
      <t>ジッコウジ</t>
    </rPh>
    <rPh sb="6" eb="8">
      <t>カンスウ</t>
    </rPh>
    <phoneticPr fontId="1"/>
  </si>
  <si>
    <t>TriggerEvents:int[]</t>
    <phoneticPr fontId="1"/>
  </si>
  <si>
    <t>TriggerEventName</t>
    <phoneticPr fontId="1"/>
  </si>
  <si>
    <t>ETB</t>
    <phoneticPr fontId="1"/>
  </si>
  <si>
    <t>戦場に出た時</t>
    <rPh sb="0" eb="2">
      <t>センジョウ</t>
    </rPh>
    <rPh sb="3" eb="4">
      <t>デ</t>
    </rPh>
    <rPh sb="5" eb="6">
      <t>トキ</t>
    </rPh>
    <phoneticPr fontId="1"/>
  </si>
  <si>
    <t>補足</t>
    <rPh sb="0" eb="2">
      <t>ホソク</t>
    </rPh>
    <phoneticPr fontId="1"/>
  </si>
  <si>
    <t>#Note:string</t>
    <phoneticPr fontId="1"/>
  </si>
  <si>
    <t>唱えられた時</t>
    <rPh sb="0" eb="1">
      <t>トナ</t>
    </rPh>
    <rPh sb="5" eb="6">
      <t>トキ</t>
    </rPh>
    <phoneticPr fontId="1"/>
  </si>
  <si>
    <t>Cast</t>
    <phoneticPr fontId="1"/>
  </si>
  <si>
    <t>OtherPermanentETB</t>
    <phoneticPr fontId="1"/>
  </si>
  <si>
    <t>他のパーマネントが戦場に出た時</t>
    <rPh sb="0" eb="1">
      <t>ホカ</t>
    </rPh>
    <rPh sb="9" eb="11">
      <t>センジョウ</t>
    </rPh>
    <rPh sb="12" eb="13">
      <t>デ</t>
    </rPh>
    <rPh sb="14" eb="15">
      <t>トキ</t>
    </rPh>
    <phoneticPr fontId="1"/>
  </si>
  <si>
    <t>Attack</t>
    <phoneticPr fontId="1"/>
  </si>
  <si>
    <t>攻撃した時</t>
    <rPh sb="0" eb="2">
      <t>コウゲキ</t>
    </rPh>
    <rPh sb="4" eb="5">
      <t>トキ</t>
    </rPh>
    <phoneticPr fontId="1"/>
  </si>
  <si>
    <t>DamageToPlayer</t>
    <phoneticPr fontId="1"/>
  </si>
  <si>
    <t>プレイヤーにダメージを与えた時</t>
    <rPh sb="11" eb="12">
      <t>アタ</t>
    </rPh>
    <rPh sb="14" eb="15">
      <t>トキ</t>
    </rPh>
    <phoneticPr fontId="1"/>
  </si>
  <si>
    <t>Block</t>
    <phoneticPr fontId="1"/>
  </si>
  <si>
    <t>ブロックした時</t>
    <rPh sb="6" eb="7">
      <t>トキ</t>
    </rPh>
    <phoneticPr fontId="1"/>
  </si>
  <si>
    <t>破壊された時</t>
    <rPh sb="0" eb="2">
      <t>ハカイ</t>
    </rPh>
    <rPh sb="5" eb="6">
      <t>トキ</t>
    </rPh>
    <phoneticPr fontId="1"/>
  </si>
  <si>
    <t>戦場を離れた時</t>
    <rPh sb="0" eb="2">
      <t>センジョウ</t>
    </rPh>
    <rPh sb="3" eb="4">
      <t>ハナ</t>
    </rPh>
    <rPh sb="6" eb="7">
      <t>トキ</t>
    </rPh>
    <phoneticPr fontId="1"/>
  </si>
  <si>
    <t>LeaveBattlefield</t>
    <phoneticPr fontId="1"/>
  </si>
  <si>
    <t>Card_MTG</t>
    <phoneticPr fontId="1"/>
  </si>
  <si>
    <t>カード名</t>
    <rPh sb="3" eb="4">
      <t>メイ</t>
    </rPh>
    <phoneticPr fontId="1"/>
  </si>
  <si>
    <t>AbilityTypeName</t>
    <phoneticPr fontId="1"/>
  </si>
  <si>
    <t>#AbilityTypeName:string</t>
    <phoneticPr fontId="1"/>
  </si>
  <si>
    <t>AbilityType:int</t>
    <phoneticPr fontId="1"/>
  </si>
  <si>
    <t>サブタイプ (伝説、クリーチャータイプなど)</t>
    <rPh sb="7" eb="9">
      <t>デンセツ</t>
    </rPh>
    <phoneticPr fontId="1"/>
  </si>
  <si>
    <t>キーワード能力</t>
    <rPh sb="5" eb="7">
      <t>ノウリョク</t>
    </rPh>
    <phoneticPr fontId="1"/>
  </si>
  <si>
    <t>パワー</t>
    <phoneticPr fontId="1"/>
  </si>
  <si>
    <t>タフネス</t>
    <phoneticPr fontId="1"/>
  </si>
  <si>
    <t>能力</t>
    <rPh sb="0" eb="2">
      <t>ノウリョク</t>
    </rPh>
    <phoneticPr fontId="1"/>
  </si>
  <si>
    <t>(カードコレクションID)×10000+(コレクション内ID)</t>
    <rPh sb="27" eb="28">
      <t>ナイ</t>
    </rPh>
    <phoneticPr fontId="1"/>
  </si>
  <si>
    <t>劇場艇の墜落</t>
    <rPh sb="0" eb="2">
      <t>ゲキジョウ</t>
    </rPh>
    <rPh sb="2" eb="3">
      <t>テイ</t>
    </rPh>
    <rPh sb="4" eb="6">
      <t>ツイラク</t>
    </rPh>
    <phoneticPr fontId="1"/>
  </si>
  <si>
    <t>CardTypeName</t>
    <phoneticPr fontId="1"/>
  </si>
  <si>
    <t>Land</t>
    <phoneticPr fontId="1"/>
  </si>
  <si>
    <t>Creature</t>
    <phoneticPr fontId="1"/>
  </si>
  <si>
    <t>Enchantment</t>
    <phoneticPr fontId="1"/>
  </si>
  <si>
    <t>Artifact</t>
    <phoneticPr fontId="1"/>
  </si>
  <si>
    <t>Planeswalker</t>
    <phoneticPr fontId="1"/>
  </si>
  <si>
    <t>Properties.OriginalCardTypes:int[]</t>
    <phoneticPr fontId="1"/>
  </si>
  <si>
    <t>#CardTypeNames:string[]</t>
    <phoneticPr fontId="1"/>
  </si>
  <si>
    <t>2G</t>
    <phoneticPr fontId="1"/>
  </si>
  <si>
    <t>サブタイプ名</t>
    <rPh sb="5" eb="6">
      <t>メイ</t>
    </rPh>
    <phoneticPr fontId="1"/>
  </si>
  <si>
    <t>Card_FIN_G_Abilities</t>
    <phoneticPr fontId="1"/>
  </si>
  <si>
    <t>トリガー無し</t>
    <rPh sb="4" eb="5">
      <t>ナ</t>
    </rPh>
    <phoneticPr fontId="1"/>
  </si>
  <si>
    <t>#TriggerEventsName:string[]</t>
    <phoneticPr fontId="1"/>
  </si>
  <si>
    <t>#能力の起動種別名</t>
    <rPh sb="1" eb="3">
      <t>ノウリョク</t>
    </rPh>
    <rPh sb="4" eb="6">
      <t>キドウ</t>
    </rPh>
    <rPh sb="6" eb="8">
      <t>シュベツ</t>
    </rPh>
    <rPh sb="8" eb="9">
      <t>メイ</t>
    </rPh>
    <phoneticPr fontId="1"/>
  </si>
  <si>
    <t>#トリガーイベント名</t>
    <rPh sb="9" eb="10">
      <t>メイ</t>
    </rPh>
    <phoneticPr fontId="1"/>
  </si>
  <si>
    <t>#カードタイプ名</t>
    <rPh sb="7" eb="8">
      <t>メイ</t>
    </rPh>
    <phoneticPr fontId="1"/>
  </si>
  <si>
    <t>#カードコレクション名</t>
    <rPh sb="10" eb="11">
      <t>メイ</t>
    </rPh>
    <phoneticPr fontId="1"/>
  </si>
  <si>
    <t>トリガーイベントID(自動入力)</t>
    <rPh sb="11" eb="15">
      <t>ジドウニュウリョク</t>
    </rPh>
    <phoneticPr fontId="1"/>
  </si>
  <si>
    <t>能力の起動種別ID(自動入力)</t>
    <rPh sb="0" eb="2">
      <t>ノウリョク</t>
    </rPh>
    <rPh sb="3" eb="5">
      <t>キドウ</t>
    </rPh>
    <rPh sb="5" eb="7">
      <t>シュベツ</t>
    </rPh>
    <rPh sb="10" eb="14">
      <t>ジドウニュウリョク</t>
    </rPh>
    <phoneticPr fontId="1"/>
  </si>
  <si>
    <t>カードタイプID</t>
    <phoneticPr fontId="1"/>
  </si>
  <si>
    <t>カードタイプID(自動入力)</t>
    <rPh sb="9" eb="13">
      <t>ジドウニュウリョク</t>
    </rPh>
    <phoneticPr fontId="1"/>
  </si>
  <si>
    <t>11G</t>
  </si>
  <si>
    <t>DestroyArtifactEnchantFlying, Cycling11</t>
  </si>
  <si>
    <t>12G</t>
  </si>
  <si>
    <t>DestroyArtifactEnchantFlying, Cycling12</t>
  </si>
  <si>
    <t>13G</t>
  </si>
  <si>
    <t>DestroyArtifactEnchantFlying, Cycling13</t>
  </si>
  <si>
    <t>14G</t>
  </si>
  <si>
    <t>DestroyArtifactEnchantFlying, Cycling14</t>
  </si>
  <si>
    <t>15G</t>
  </si>
  <si>
    <t>DestroyArtifactEnchantFlying, Cycling15</t>
  </si>
  <si>
    <t>16G</t>
  </si>
  <si>
    <t>DestroyArtifactEnchantFlying, Cycling16</t>
  </si>
  <si>
    <t>17G</t>
  </si>
  <si>
    <t>DestroyArtifactEnchantFlying, Cycling17</t>
  </si>
  <si>
    <t>18G</t>
  </si>
  <si>
    <t>DestroyArtifactEnchantFlying, Cycling18</t>
  </si>
  <si>
    <t>19G</t>
  </si>
  <si>
    <t>DestroyArtifactEnchantFlying, Cycling19</t>
  </si>
  <si>
    <t>20G</t>
  </si>
  <si>
    <t>DestroyArtifactEnchantFlying, Cycling20</t>
  </si>
  <si>
    <t>21G</t>
  </si>
  <si>
    <t>DestroyArtifactEnchantFlying, Cycling21</t>
  </si>
  <si>
    <t>22G</t>
  </si>
  <si>
    <t>DestroyArtifactEnchantFlying, Cycling22</t>
  </si>
  <si>
    <t>23G</t>
  </si>
  <si>
    <t>DestroyArtifactEnchantFlying, Cycling23</t>
  </si>
  <si>
    <t>古代のアダマンタイマイ</t>
    <rPh sb="0" eb="2">
      <t>コダイ</t>
    </rPh>
    <phoneticPr fontId="1"/>
  </si>
  <si>
    <t>海亀</t>
    <rPh sb="0" eb="2">
      <t>ウミガメ</t>
    </rPh>
    <phoneticPr fontId="1"/>
  </si>
  <si>
    <t>5GGG</t>
    <phoneticPr fontId="1"/>
  </si>
  <si>
    <t>Vigilance</t>
    <phoneticPr fontId="1"/>
  </si>
  <si>
    <t>DontRemoveDamageInCleanup</t>
    <phoneticPr fontId="1"/>
  </si>
  <si>
    <t>CoverOtherPermanentDamage</t>
    <phoneticPr fontId="1"/>
  </si>
  <si>
    <t>Targeted</t>
    <phoneticPr fontId="1"/>
  </si>
  <si>
    <t>相手の能力によって選ばれた時</t>
    <rPh sb="0" eb="2">
      <t>アイテ</t>
    </rPh>
    <rPh sb="3" eb="5">
      <t>ノウリョク</t>
    </rPh>
    <rPh sb="9" eb="10">
      <t>エラ</t>
    </rPh>
    <rPh sb="13" eb="14">
      <t>トキ</t>
    </rPh>
    <phoneticPr fontId="1"/>
  </si>
  <si>
    <t>OtherPermanentDamaged</t>
    <phoneticPr fontId="1"/>
  </si>
  <si>
    <t>他のパーマネントがダメージを受けた時</t>
    <rPh sb="0" eb="1">
      <t>ホカ</t>
    </rPh>
    <rPh sb="14" eb="15">
      <t>ウ</t>
    </rPh>
    <rPh sb="17" eb="18">
      <t>トキ</t>
    </rPh>
    <phoneticPr fontId="1"/>
  </si>
  <si>
    <t>Destroyed</t>
    <phoneticPr fontId="1"/>
  </si>
  <si>
    <t>バラムのアルケオダイノス</t>
    <phoneticPr fontId="1"/>
  </si>
  <si>
    <t>恐竜</t>
    <rPh sb="0" eb="2">
      <t>キョウリュウ</t>
    </rPh>
    <phoneticPr fontId="1"/>
  </si>
  <si>
    <t>Trample</t>
    <phoneticPr fontId="1"/>
  </si>
  <si>
    <t>4GG</t>
    <phoneticPr fontId="1"/>
  </si>
  <si>
    <t>ETB_LifeGain3</t>
    <phoneticPr fontId="1"/>
  </si>
  <si>
    <t>FuncParam:string</t>
    <phoneticPr fontId="1"/>
  </si>
  <si>
    <t>能力実行時の引数</t>
    <rPh sb="0" eb="2">
      <t>ノウリョク</t>
    </rPh>
    <rPh sb="2" eb="5">
      <t>ジッコウジ</t>
    </rPh>
    <rPh sb="6" eb="8">
      <t>ヒキスウ</t>
    </rPh>
    <phoneticPr fontId="1"/>
  </si>
  <si>
    <t>-</t>
    <phoneticPr fontId="1"/>
  </si>
  <si>
    <t>"-" は CardCollection.FuncNoneを意味する。</t>
    <rPh sb="30" eb="32">
      <t>イミ</t>
    </rPh>
    <phoneticPr fontId="1"/>
  </si>
  <si>
    <t>能力実行時の引数</t>
    <phoneticPr fontId="1"/>
  </si>
  <si>
    <t>親クラスの静的関数は子クラスからも呼べるので、クラス名は不要。実体定義がCardCollection.Cycling()であっても、CardCollection_FIN_G.Cycling()でよい。</t>
    <rPh sb="0" eb="1">
      <t>オヤ</t>
    </rPh>
    <rPh sb="5" eb="7">
      <t>セイテキ</t>
    </rPh>
    <rPh sb="7" eb="9">
      <t>カンスウ</t>
    </rPh>
    <rPh sb="10" eb="11">
      <t>コ</t>
    </rPh>
    <rPh sb="17" eb="18">
      <t>ヨ</t>
    </rPh>
    <rPh sb="26" eb="27">
      <t>メイ</t>
    </rPh>
    <rPh sb="28" eb="30">
      <t>フヨウ</t>
    </rPh>
    <rPh sb="31" eb="35">
      <t>ジッタイテイギ</t>
    </rPh>
    <phoneticPr fontId="1"/>
  </si>
  <si>
    <t>→クラス名省略で、Cyclingとすればよい</t>
    <rPh sb="4" eb="5">
      <t>メイ</t>
    </rPh>
    <rPh sb="5" eb="7">
      <t>ショウリャク</t>
    </rPh>
    <phoneticPr fontId="1"/>
  </si>
  <si>
    <t>DestroyPermanent</t>
    <phoneticPr fontId="1"/>
  </si>
  <si>
    <t>Ward</t>
    <phoneticPr fontId="1"/>
  </si>
  <si>
    <t>LifeGain</t>
    <phoneticPr fontId="1"/>
  </si>
  <si>
    <t>Cast_DestroyArtifactEnchantFlying</t>
    <phoneticPr fontId="1"/>
  </si>
  <si>
    <t>Instant_Cycling2</t>
    <phoneticPr fontId="1"/>
  </si>
  <si>
    <t>Destroyed_GenerateTreasureToken10</t>
    <phoneticPr fontId="1"/>
  </si>
  <si>
    <t>Targeted_Ward3</t>
    <phoneticPr fontId="1"/>
  </si>
  <si>
    <t>Permanent_DontRemoveDamageInCleanup</t>
    <phoneticPr fontId="1"/>
  </si>
  <si>
    <t>OtherPermanentDamaged_CoverOtherPermanentDamage</t>
    <phoneticPr fontId="1"/>
  </si>
  <si>
    <t>Instant_ForestCycling2</t>
    <phoneticPr fontId="1"/>
  </si>
  <si>
    <t>例) ETB_LifeGain3</t>
    <rPh sb="0" eb="1">
      <t>レイ</t>
    </rPh>
    <phoneticPr fontId="1"/>
  </si>
  <si>
    <t>重複効果に気付きやすくするため、Triggerの場合はTriggerEvents、それ以外の場合はAbilityTypeを接頭辞として付ける。</t>
    <rPh sb="0" eb="2">
      <t>チョウフク</t>
    </rPh>
    <rPh sb="2" eb="4">
      <t>コウカ</t>
    </rPh>
    <rPh sb="5" eb="7">
      <t>キヅ</t>
    </rPh>
    <rPh sb="24" eb="26">
      <t>バアイ</t>
    </rPh>
    <rPh sb="43" eb="45">
      <t>イガイ</t>
    </rPh>
    <rPh sb="46" eb="48">
      <t>バアイ</t>
    </rPh>
    <rPh sb="61" eb="64">
      <t>セットウジ</t>
    </rPh>
    <rPh sb="67" eb="68">
      <t>ツ</t>
    </rPh>
    <phoneticPr fontId="1"/>
  </si>
  <si>
    <t>Cast_DestroyArtifactEnchantFlying, Instant_Cycling2</t>
    <phoneticPr fontId="1"/>
  </si>
  <si>
    <t>Draw</t>
    <phoneticPr fontId="1"/>
  </si>
  <si>
    <t>SearchCard</t>
    <phoneticPr fontId="1"/>
  </si>
  <si>
    <t>CardType:Artifact|CardType:Enchantment|(CardType:Creature&amp;KeywordAbility:Flying), Count:1</t>
    <phoneticPr fontId="1"/>
  </si>
  <si>
    <t>「吟遊詩人」の弓</t>
    <rPh sb="1" eb="5">
      <t>ギンユウシジン</t>
    </rPh>
    <rPh sb="7" eb="8">
      <t>ユミ</t>
    </rPh>
    <phoneticPr fontId="1"/>
  </si>
  <si>
    <t>装備品</t>
    <rPh sb="0" eb="3">
      <t>ソウビヒン</t>
    </rPh>
    <phoneticPr fontId="1"/>
  </si>
  <si>
    <t>ETB_LifeGain3, Instant_ForestCycling2</t>
    <phoneticPr fontId="1"/>
  </si>
  <si>
    <t>Targeted_Ward3, Permanent_DontRemoveDamageInCleanup, OtherPermanentDamaged_CoverOtherPermanentDamage, Destroyed_GenerateTreasureToken10</t>
    <phoneticPr fontId="1"/>
  </si>
  <si>
    <t>ETB_JobSelect</t>
  </si>
  <si>
    <t>FuncNone</t>
    <phoneticPr fontId="1"/>
  </si>
  <si>
    <t>Instant_TreasureToken</t>
    <phoneticPr fontId="1"/>
  </si>
  <si>
    <t>TS</t>
    <phoneticPr fontId="1"/>
  </si>
  <si>
    <t>GenerateToken</t>
    <phoneticPr fontId="1"/>
  </si>
  <si>
    <t>カード色</t>
    <rPh sb="3" eb="4">
      <t>イロ</t>
    </rPh>
    <phoneticPr fontId="1"/>
  </si>
  <si>
    <t>Properties.Color:string</t>
    <phoneticPr fontId="1"/>
  </si>
  <si>
    <t>G</t>
    <phoneticPr fontId="1"/>
  </si>
  <si>
    <t>AddMana</t>
    <phoneticPr fontId="1"/>
  </si>
  <si>
    <t>Color:A. Count:1</t>
    <phoneticPr fontId="1"/>
  </si>
  <si>
    <t>CardType:Artifact&amp;Color:C&amp;SubTypes:宝物&amp;Abilities:Instant_TreasureToken, Count:10</t>
    <rPh sb="35" eb="37">
      <t>タカラモノ</t>
    </rPh>
    <phoneticPr fontId="1"/>
  </si>
  <si>
    <t>CardType:Creature&amp;Color:C&amp;SubTypes:英雄&amp;Power:1&amp;Toughness:1, Count:1</t>
    <rPh sb="35" eb="37">
      <t>エイユウ</t>
    </rPh>
    <phoneticPr fontId="1"/>
  </si>
  <si>
    <t>GenerateTokenAndEquip</t>
    <phoneticPr fontId="1"/>
  </si>
  <si>
    <t>Sorcery_Equip6</t>
  </si>
  <si>
    <t>Power:2&amp;Toughness:2</t>
    <phoneticPr fontId="1"/>
  </si>
  <si>
    <t>KeywordAbilities:Reach</t>
    <phoneticPr fontId="1"/>
  </si>
  <si>
    <t>SubTypes:Forest, Count:1</t>
    <phoneticPr fontId="1"/>
  </si>
  <si>
    <t>SubTypes:バード</t>
    <phoneticPr fontId="1"/>
  </si>
  <si>
    <t>Equip</t>
    <phoneticPr fontId="1"/>
  </si>
  <si>
    <t>CardType:Creature</t>
    <phoneticPr fontId="1"/>
  </si>
  <si>
    <t>バッツとボコ</t>
    <phoneticPr fontId="1"/>
  </si>
  <si>
    <t>人間, 鳥</t>
    <rPh sb="0" eb="2">
      <t>ニンゲン</t>
    </rPh>
    <rPh sb="4" eb="5">
      <t>トリ</t>
    </rPh>
    <phoneticPr fontId="1"/>
  </si>
  <si>
    <t>3GG</t>
    <phoneticPr fontId="1"/>
  </si>
  <si>
    <t>ETB_ShockDamageAllBirdsPower</t>
    <phoneticPr fontId="1"/>
  </si>
  <si>
    <t>コストを支払う時</t>
    <rPh sb="4" eb="6">
      <t>シハラ</t>
    </rPh>
    <rPh sb="7" eb="8">
      <t>トキ</t>
    </rPh>
    <phoneticPr fontId="1"/>
  </si>
  <si>
    <t>PayCost</t>
    <phoneticPr fontId="1"/>
  </si>
  <si>
    <t>PayCost_AffinityBird</t>
    <phoneticPr fontId="1"/>
  </si>
  <si>
    <t>DiscardHand</t>
    <phoneticPr fontId="1"/>
  </si>
  <si>
    <t>PayCost_DiscardHand</t>
    <phoneticPr fontId="1"/>
  </si>
  <si>
    <t>Count:1</t>
    <phoneticPr fontId="1"/>
  </si>
  <si>
    <t>Cost:3</t>
    <phoneticPr fontId="1"/>
  </si>
  <si>
    <t>Player:CastPlayer, Count:1</t>
    <phoneticPr fontId="1"/>
  </si>
  <si>
    <t>SaveMana</t>
    <phoneticPr fontId="1"/>
  </si>
  <si>
    <t>Cost:1</t>
    <phoneticPr fontId="1"/>
  </si>
  <si>
    <t>ETB_ShockByAllBirdsPower</t>
    <phoneticPr fontId="1"/>
  </si>
  <si>
    <t>ShockByAllCreaturesPower</t>
    <phoneticPr fontId="1"/>
  </si>
  <si>
    <t>SubTypes:鳥, TargetCardType:Creature</t>
    <rPh sb="9" eb="10">
      <t>トリ</t>
    </rPh>
    <phoneticPr fontId="1"/>
  </si>
  <si>
    <t>ブリッツボール、オーラカシュート</t>
    <phoneticPr fontId="1"/>
  </si>
  <si>
    <t>1G</t>
    <phoneticPr fontId="1"/>
  </si>
  <si>
    <t>装備した時</t>
    <rPh sb="0" eb="2">
      <t>ソウビ</t>
    </rPh>
    <rPh sb="4" eb="5">
      <t>トキ</t>
    </rPh>
    <phoneticPr fontId="1"/>
  </si>
  <si>
    <t>StripEquipment</t>
    <phoneticPr fontId="1"/>
  </si>
  <si>
    <t>装備状態から離れた時</t>
    <rPh sb="0" eb="2">
      <t>ソウビ</t>
    </rPh>
    <rPh sb="2" eb="4">
      <t>ジョウタイ</t>
    </rPh>
    <rPh sb="6" eb="7">
      <t>ハナ</t>
    </rPh>
    <rPh sb="9" eb="10">
      <t>トキ</t>
    </rPh>
    <phoneticPr fontId="1"/>
  </si>
  <si>
    <t>AddStatus</t>
    <phoneticPr fontId="1"/>
  </si>
  <si>
    <t>AddAbilities</t>
    <phoneticPr fontId="1"/>
  </si>
  <si>
    <t>AddSubType</t>
    <phoneticPr fontId="1"/>
  </si>
  <si>
    <t>←通常の装備で一々これ書いてたら倍になるので、装備先の自分が付与した追加能力を参照して破棄がいい気がする</t>
    <rPh sb="1" eb="3">
      <t>ツウジョウ</t>
    </rPh>
    <rPh sb="4" eb="6">
      <t>ソウビ</t>
    </rPh>
    <rPh sb="7" eb="9">
      <t>イチイチ</t>
    </rPh>
    <rPh sb="11" eb="12">
      <t>カ</t>
    </rPh>
    <rPh sb="16" eb="17">
      <t>バイ</t>
    </rPh>
    <rPh sb="23" eb="25">
      <t>ソウビ</t>
    </rPh>
    <rPh sb="25" eb="26">
      <t>サキ</t>
    </rPh>
    <rPh sb="27" eb="29">
      <t>ジブン</t>
    </rPh>
    <rPh sb="30" eb="32">
      <t>フヨ</t>
    </rPh>
    <rPh sb="34" eb="36">
      <t>ツイカ</t>
    </rPh>
    <rPh sb="36" eb="38">
      <t>ノウリョク</t>
    </rPh>
    <rPh sb="39" eb="41">
      <t>サンショウ</t>
    </rPh>
    <rPh sb="43" eb="45">
      <t>ハキ</t>
    </rPh>
    <rPh sb="48" eb="49">
      <t>キ</t>
    </rPh>
    <phoneticPr fontId="1"/>
  </si>
  <si>
    <t>Permanent_Add+2/+2</t>
    <phoneticPr fontId="1"/>
  </si>
  <si>
    <t>Permanent_AddReach</t>
    <phoneticPr fontId="1"/>
  </si>
  <si>
    <t>Permanent_AddSubTypeBird</t>
    <phoneticPr fontId="1"/>
  </si>
  <si>
    <t>Equip_Add+2/+2ReachBird</t>
    <phoneticPr fontId="1"/>
  </si>
  <si>
    <t>Abilities:Permanent_Add+2/+2&amp;Abilities:Permanent_AddReach&amp;Abilities:Permanent_AddSubTypeBird</t>
    <phoneticPr fontId="1"/>
  </si>
  <si>
    <t>StripEquipment_RemoveAllAbilitiesAddedByThis</t>
    <phoneticPr fontId="1"/>
  </si>
  <si>
    <t>RemoveAllAbilitiesAddedByThis</t>
    <phoneticPr fontId="1"/>
  </si>
  <si>
    <t>TurnEnd</t>
    <phoneticPr fontId="1"/>
  </si>
  <si>
    <t>ターン終了時(両者)</t>
    <rPh sb="3" eb="6">
      <t>シュウリョウジ</t>
    </rPh>
    <rPh sb="7" eb="9">
      <t>リョウシャ</t>
    </rPh>
    <phoneticPr fontId="1"/>
  </si>
  <si>
    <t>ETB_JobSelect, Equip_Add+2/+2ReachBird, StripEquipment_RemoveAllAbilitiesAddedByThis, Sorcery_Equip6</t>
    <phoneticPr fontId="1"/>
  </si>
  <si>
    <t>Cast_Add+3/+3, Cast_AddTrample, TurnEnd_RemoveAllAbilitiesAddedByThis</t>
    <phoneticPr fontId="1"/>
  </si>
  <si>
    <t>Power:3&amp;Toughness:3</t>
    <phoneticPr fontId="1"/>
  </si>
  <si>
    <t>Cast_Add+3/+3Trample</t>
    <phoneticPr fontId="1"/>
  </si>
  <si>
    <t>Permanent_AddTrample</t>
    <phoneticPr fontId="1"/>
  </si>
  <si>
    <t>Permanent_Add+3/+3</t>
    <phoneticPr fontId="1"/>
  </si>
  <si>
    <t>Abilities:Permanent_Add+3/+3&amp;Abilities:Permanent_AddTrample</t>
    <phoneticPr fontId="1"/>
  </si>
  <si>
    <t>TurnEnd_RemoveAllAbilitiesAddedByThis</t>
    <phoneticPr fontId="1"/>
  </si>
  <si>
    <t>サボテンダー</t>
    <phoneticPr fontId="1"/>
  </si>
  <si>
    <t>植物</t>
    <rPh sb="0" eb="2">
      <t>ショクブツ</t>
    </rPh>
    <phoneticPr fontId="1"/>
  </si>
  <si>
    <t>BeginEndStep</t>
    <phoneticPr fontId="1"/>
  </si>
  <si>
    <t>エンドステップ開始時</t>
    <rPh sb="7" eb="10">
      <t>カイシジ</t>
    </rPh>
    <phoneticPr fontId="1"/>
  </si>
  <si>
    <t>BeginEndStep_IfNotEnterThisTurnBounceThis</t>
    <phoneticPr fontId="1"/>
  </si>
  <si>
    <t>IfNotEnterThisTurnBounceThis</t>
    <phoneticPr fontId="1"/>
  </si>
  <si>
    <t>チョコボキック</t>
    <phoneticPr fontId="1"/>
  </si>
  <si>
    <t>Kicker</t>
    <phoneticPr fontId="1"/>
  </si>
  <si>
    <t>通常コストの支払い後、キッカーコストを支払う時</t>
    <rPh sb="0" eb="2">
      <t>ツウジョウ</t>
    </rPh>
    <rPh sb="6" eb="8">
      <t>シハラ</t>
    </rPh>
    <rPh sb="9" eb="10">
      <t>ゴ</t>
    </rPh>
    <rPh sb="19" eb="21">
      <t>シハラ</t>
    </rPh>
    <rPh sb="22" eb="23">
      <t>ジ</t>
    </rPh>
    <phoneticPr fontId="1"/>
  </si>
  <si>
    <t>Kicker_BounceOwnLand</t>
    <phoneticPr fontId="1"/>
  </si>
  <si>
    <t>PayCost_BounceOwnLand</t>
    <phoneticPr fontId="1"/>
  </si>
  <si>
    <t>Cast_ShockPowerKicker2x</t>
    <phoneticPr fontId="1"/>
  </si>
  <si>
    <t>ShockPowerKicker2x</t>
    <phoneticPr fontId="1"/>
  </si>
  <si>
    <t>SetCastedWithKicker</t>
    <phoneticPr fontId="1"/>
  </si>
  <si>
    <t>チョコボのレース場</t>
    <rPh sb="8" eb="9">
      <t>ジョウ</t>
    </rPh>
    <phoneticPr fontId="1"/>
  </si>
  <si>
    <t>Landfall_GenerateToken</t>
    <phoneticPr fontId="1"/>
  </si>
  <si>
    <t>CardType:Creature&amp;Color:G&amp;SubTypes:鳥&amp;Abilities:OtherPermanentETB_LandfallPower+1/+0, Count:1</t>
    <rPh sb="35" eb="36">
      <t>トリ</t>
    </rPh>
    <phoneticPr fontId="1"/>
  </si>
  <si>
    <t>OtherPermanentETB_LandfallPower+1/+0</t>
  </si>
  <si>
    <t>Landfall_AddStatus</t>
    <phoneticPr fontId="1"/>
  </si>
  <si>
    <t>Power:1</t>
    <phoneticPr fontId="1"/>
  </si>
  <si>
    <t>OtherPermanentETB_LandfallGenerateChokoboToken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</si>
</sst>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3" borderId="0" xfId="0" applyNumberFormat="1" applyFill="1">
      <alignment vertical="center"/>
    </xf>
  </cellXfs>
  <cellStyles count="1">
    <cellStyle name="標準" xfId="0" builtinId="0"/>
  </cellStyles>
  <dxfs count="19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0E78D-471C-4779-B4BD-B89A56F66007}" name="CardCollection_MTG" displayName="CardCollection_MTG" ref="A4:E5" totalsRowShown="0">
  <autoFilter ref="A4:E5" xr:uid="{7CAF4B06-D57C-47D5-B2AC-0D657BC8770A}"/>
  <tableColumns count="5">
    <tableColumn id="1" xr3:uid="{EAF6FD8D-6E8A-497F-B132-69B68EA2DB05}" name="Id:int"/>
    <tableColumn id="14" xr3:uid="{065AA387-F08B-4A08-9913-68F4138278E5}" name="Name.ShortName:string"/>
    <tableColumn id="17" xr3:uid="{E37DF397-8E63-478D-BC08-8B0FCB2BBB58}" name="Name.FullName:string"/>
    <tableColumn id="2" xr3:uid="{12F0AD70-1B86-46B5-ADEC-433B6A9E4071}" name="Name.CardDataName:string"/>
    <tableColumn id="3" xr3:uid="{C80ED902-D2A5-4012-8976-FFF63B0FE560}" name="ReleaseDate:string" dataDxfId="1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C5940-F051-4F75-AC54-84177DFDC2E2}" name="Card_MTG" displayName="Card_MTG" ref="A4:M5" totalsRowShown="0">
  <autoFilter ref="A4:M5" xr:uid="{60DC5940-F051-4F75-AC54-84177DFDC2E2}"/>
  <tableColumns count="13">
    <tableColumn id="1" xr3:uid="{636508DD-2235-4BC0-A24B-54F5E21C0C2F}" name="Id:int"/>
    <tableColumn id="14" xr3:uid="{C2C0CAC9-26DA-48D2-9994-8A235C5D2F7B}" name="Name.OriginalName:string"/>
    <tableColumn id="13" xr3:uid="{8722DE9E-AC4B-450E-82F7-438FD9856D1B}" name="#CardTypeNames:string[]" dataDxfId="17"/>
    <tableColumn id="2" xr3:uid="{B542AA68-9108-418A-8567-676348C79897}" name="Properties.OriginalCardTypes:string[]">
      <calculatedColumnFormula>LookupAndJoin(Card_MTG[[#This Row],['#CardTypeNames:string'[']]], CardTypeName[Name:string], CardTypeName[Id:int])</calculatedColumnFormula>
    </tableColumn>
    <tableColumn id="3" xr3:uid="{A5AA87AA-06A7-4461-A107-C744D7ADF931}" name="Properties.SubTypes:string[]"/>
    <tableColumn id="4" xr3:uid="{A7F01955-4722-4100-A0AE-ACD375AC807F}" name="Properties.KeywordAbilities:string[]"/>
    <tableColumn id="11" xr3:uid="{39D769C1-02E7-4F71-934D-30BB93BADFE8}" name="Cost.OriginalCost:string"/>
    <tableColumn id="12" xr3:uid="{72B091DF-0BE7-4E63-90D9-8E5E20810B8B}" name="Cost.AdditionalCost:string"/>
    <tableColumn id="17" xr3:uid="{7214C434-BF33-4466-A9C6-3C51970BE45B}" name="Status.OriginalPower:int"/>
    <tableColumn id="7" xr3:uid="{F3DE42B4-8C3E-45B9-B487-1AA40D862CD7}" name="Status.OriginalToughness"/>
    <tableColumn id="5" xr3:uid="{E62E3984-B9B3-4B43-B013-A8C60287ADB2}" name="CollectionId: int"/>
    <tableColumn id="8" xr3:uid="{FCE60A74-0173-4998-8311-80896BAB6331}" name="#CollectionName:string" dataDxfId="16">
      <calculatedColumnFormula>INDEX(CardCollection_MTG[Name.ShortName:string], MATCH(Card_MTG[CollectionId: int], CardCollection_MTG[Id:int], 0))</calculatedColumnFormula>
    </tableColumn>
    <tableColumn id="9" xr3:uid="{AAB9DACA-CC02-4400-A30B-7158205305D9}" name="Abilities:Abilities(Name:string)[]" dataDxfId="1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F4B06-D57C-47D5-B2AC-0D657BC8770A}" name="Card_MTG_Abilities" displayName="Card_MTG_Abilities" ref="A4:J5" totalsRowShown="0">
  <autoFilter ref="A4:J5" xr:uid="{7CAF4B06-D57C-47D5-B2AC-0D657BC8770A}"/>
  <tableColumns count="10">
    <tableColumn id="1" xr3:uid="{3698D4D5-E129-46BB-8F6E-AB62E4F0A6A9}" name="Id:int"/>
    <tableColumn id="14" xr3:uid="{5670E10E-D7F4-43C9-A224-A603BCAB7FA7}" name="Name:string"/>
    <tableColumn id="8" xr3:uid="{2699BF35-960D-48A7-995E-4A4F59D127C5}" name="#AbilityTypeName:string" dataDxfId="14"/>
    <tableColumn id="2" xr3:uid="{A71BD0F3-3D11-4094-897F-31EE92E1B0C2}" name="AbilityType:int">
      <calculatedColumnFormula>INDEX(AbilityTypeName[Id:int], MATCH(Card_MTG_Abilities['#AbilityTypeName:string], AbilityTypeName[Name:string], 0))</calculatedColumnFormula>
    </tableColumn>
    <tableColumn id="7" xr3:uid="{B16BB827-32D7-4107-A9D6-FE5AED4C12BA}" name="#TriggerEventsName:string[]" dataDxfId="13"/>
    <tableColumn id="9" xr3:uid="{251C1FCD-D508-46B0-A393-A78DEB6F02BC}" name="TriggerEvents:int[]">
      <calculatedColumnFormula array="1">LookupAndJoin(Card_MTG_Abilities[[#This Row],['#TriggerEventsName:string'[']]], TriggerEventName[Name:string], TriggerEventName[Id:int])</calculatedColumnFormula>
    </tableColumn>
    <tableColumn id="17" xr3:uid="{B86CA6B5-2710-4707-9007-2F47F0DE335E}" name="Cost:string" dataDxfId="12"/>
    <tableColumn id="6" xr3:uid="{B2AA8E95-48CD-42C9-A1DE-7FEBBBEDD8B5}" name="AdditionalCost:string"/>
    <tableColumn id="5" xr3:uid="{72719095-09F6-498E-B15A-4339BD9668F2}" name="FuncName:string"/>
    <tableColumn id="3" xr3:uid="{71A43EF3-90C2-42B9-B4A1-F0E8E554E5CE}" name="FuncParam:string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DD39F7-A341-4309-8070-5717847B523C}" name="CardTypeName" displayName="CardTypeName" ref="A4:B11" totalsRowShown="0">
  <autoFilter ref="A4:B11" xr:uid="{7CAF4B06-D57C-47D5-B2AC-0D657BC8770A}"/>
  <tableColumns count="2">
    <tableColumn id="1" xr3:uid="{FCC0DEA6-9BB8-496A-B858-56E1652FE5CC}" name="Id:int"/>
    <tableColumn id="14" xr3:uid="{50E6C79C-5189-47E6-BB52-7DAFBDC9611D}" name="Name:strin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C8D60-F842-4C48-8650-22A69C08F150}" name="AbilityTypeName" displayName="AbilityTypeName" ref="A4:B8" totalsRowShown="0">
  <autoFilter ref="A4:B8" xr:uid="{7CAF4B06-D57C-47D5-B2AC-0D657BC8770A}"/>
  <tableColumns count="2">
    <tableColumn id="1" xr3:uid="{31BC7B4A-3759-4F0C-AFCA-6E6E9360F380}" name="Id:int"/>
    <tableColumn id="14" xr3:uid="{2000386A-C0E5-4CD0-B979-294E6278F159}" name="Name:string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8421F-2495-4C38-9E11-35780540BFAB}" name="TriggerEventName" displayName="TriggerEventName" ref="A4:C24" totalsRowShown="0">
  <autoFilter ref="A4:C24" xr:uid="{7CAF4B06-D57C-47D5-B2AC-0D657BC8770A}"/>
  <tableColumns count="3">
    <tableColumn id="1" xr3:uid="{AD8271B2-A57A-4D04-B28F-898853982AC0}" name="Id:int"/>
    <tableColumn id="14" xr3:uid="{52D32767-7F72-4DAF-AE0B-CFEAB17080B7}" name="Name:string"/>
    <tableColumn id="4" xr3:uid="{4053944F-8268-4ABC-A272-310819D144AD}" name="#Note:string" dataDxfId="1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E7F06E-6CB2-46DB-A01A-61E8AB53F961}" name="Card_FIN_G" displayName="Card_FIN_G" ref="A4:N26" totalsRowShown="0">
  <autoFilter ref="A4:N26" xr:uid="{60DC5940-F051-4F75-AC54-84177DFDC2E2}"/>
  <tableColumns count="14">
    <tableColumn id="1" xr3:uid="{FE749A3F-CC92-4681-9B74-D19BB3E674BD}" name="Id:int"/>
    <tableColumn id="14" xr3:uid="{22942118-5752-4704-BF67-5712FF24D977}" name="Name.OriginalName:string"/>
    <tableColumn id="15" xr3:uid="{06B55E97-6F2F-4D1C-96CF-860194934EE0}" name="#CardTypeNames:string[]" dataDxfId="10"/>
    <tableColumn id="2" xr3:uid="{BDD963E7-7524-40F2-AD33-DD937287B8B3}" name="Properties.OriginalCardTypes:int[]" dataDxfId="9">
      <calculatedColumnFormula>LookupAndJoin(Card_FIN_G[[#This Row],['#CardTypeNames:string'[']]], CardTypeName[Name:string], CardTypeName[Id:int])</calculatedColumnFormula>
    </tableColumn>
    <tableColumn id="6" xr3:uid="{7CF69571-DAB4-4D49-AF95-7CC592D66013}" name="Properties.Color:string" dataDxfId="8"/>
    <tableColumn id="3" xr3:uid="{07736DD8-652C-4567-B02C-D798E33EA6EE}" name="Properties.SubTypes:string[]"/>
    <tableColumn id="4" xr3:uid="{3CE19604-AB62-4A2F-A04E-857A214F8BBB}" name="Properties.KeywordAbilities:string[]"/>
    <tableColumn id="11" xr3:uid="{7CD048CE-C3DD-40B9-AA88-C6184864FA31}" name="Cost.OriginalCost:string"/>
    <tableColumn id="12" xr3:uid="{50CEC019-F4A3-46F5-ACFA-681339EEB240}" name="Cost.AdditionalCost:string"/>
    <tableColumn id="17" xr3:uid="{3B45AF58-40AD-402E-9707-ADED153AC2F8}" name="Status.OriginalPower:int"/>
    <tableColumn id="7" xr3:uid="{10C76884-598C-4918-AA60-AFA7D1AC947F}" name="Status.OriginalToughness"/>
    <tableColumn id="5" xr3:uid="{F759CA30-1BEC-460A-A145-DCAF0F7F0A0F}" name="CollectionId: int"/>
    <tableColumn id="8" xr3:uid="{0A449769-9D14-4092-AAEC-BFAC8014107A}" name="#CollectionName:string" dataDxfId="7">
      <calculatedColumnFormula>INDEX(CardCollection_MTG[Name.ShortName:string], MATCH(Card_FIN_G[[#This Row],[CollectionId: int]], CardCollection_MTG[Id:int], 0))</calculatedColumnFormula>
    </tableColumn>
    <tableColumn id="9" xr3:uid="{6E599176-EC0A-4F4B-A85E-DCB5AACDDCC8}" name="Abilities:Abilities(Name:string)[]" dataDxfId="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4FABB4-F9C3-4835-968D-04AED69A263F}" name="Card_FIN_G_Abilities" displayName="Card_FIN_G_Abilities" ref="A4:J35" totalsRowShown="0">
  <autoFilter ref="A4:J35" xr:uid="{7CAF4B06-D57C-47D5-B2AC-0D657BC8770A}"/>
  <tableColumns count="10">
    <tableColumn id="1" xr3:uid="{B9BB8ED8-98F0-4B99-9D84-83D12E06C31E}" name="Id:int"/>
    <tableColumn id="14" xr3:uid="{6610D922-5FC6-47B1-AB61-FE417FE46A62}" name="Name:string"/>
    <tableColumn id="8" xr3:uid="{0C33F71E-8483-48A5-BF21-528A5DED57ED}" name="#AbilityTypeName:string" dataDxfId="5"/>
    <tableColumn id="2" xr3:uid="{A458A625-2D23-4AA0-81E9-F672DA89B4DF}" name="AbilityType:int" dataDxfId="4">
      <calculatedColumnFormula>INDEX(AbilityTypeName[Id:int], MATCH(Card_FIN_G_Abilities[[#This Row],['#AbilityTypeName:string]], AbilityTypeName[Name:string], 0))</calculatedColumnFormula>
    </tableColumn>
    <tableColumn id="7" xr3:uid="{36CA579A-583F-4D87-BCC2-5DCE89C42B11}" name="#TriggerEventsName:string[]" dataDxfId="3"/>
    <tableColumn id="9" xr3:uid="{E7868937-9ECB-41C2-A7A3-5D9C4DA17072}" name="TriggerEvents:int[]" dataDxfId="2">
      <calculatedColumnFormula>LookupAndJoin(Card_FIN_G_Abilities[[#This Row],['#TriggerEventsName:string'[']]], TriggerEventName[Name:string], TriggerEventName[Id:int])</calculatedColumnFormula>
    </tableColumn>
    <tableColumn id="17" xr3:uid="{7B8762EA-BCDC-40D0-BDB6-6F7E6E17A6D6}" name="Cost:string" dataDxfId="1"/>
    <tableColumn id="6" xr3:uid="{660FDF8B-4410-4F5B-B18E-CC49437383CD}" name="AdditionalCost:string"/>
    <tableColumn id="5" xr3:uid="{EFBC385A-C05A-4547-B320-9B7E017507E0}" name="FuncName:string"/>
    <tableColumn id="3" xr3:uid="{9ABFFA38-4AFC-4194-A338-7D3B18085609}" name="FuncParam:string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68F9D-DCC4-437E-A3E9-D4BCE9B921B3}">
  <sheetPr codeName="Sheet1"/>
  <dimension ref="A1:E5"/>
  <sheetViews>
    <sheetView workbookViewId="0">
      <selection activeCell="B37" sqref="B37"/>
    </sheetView>
  </sheetViews>
  <sheetFormatPr defaultRowHeight="18.45" x14ac:dyDescent="0.65"/>
  <cols>
    <col min="1" max="1" width="20.35546875" bestFit="1" customWidth="1"/>
    <col min="2" max="2" width="29.85546875" bestFit="1" customWidth="1"/>
    <col min="3" max="3" width="48.2109375" bestFit="1" customWidth="1"/>
    <col min="4" max="4" width="38.140625" bestFit="1" customWidth="1"/>
    <col min="5" max="5" width="25.140625" bestFit="1" customWidth="1"/>
    <col min="6" max="6" width="27.85546875" bestFit="1" customWidth="1"/>
  </cols>
  <sheetData>
    <row r="1" spans="1:5" x14ac:dyDescent="0.65">
      <c r="A1" t="s">
        <v>18</v>
      </c>
      <c r="B1" t="s">
        <v>19</v>
      </c>
    </row>
    <row r="3" spans="1:5" x14ac:dyDescent="0.65">
      <c r="A3" s="1" t="s">
        <v>3</v>
      </c>
      <c r="B3" s="1" t="s">
        <v>8</v>
      </c>
      <c r="C3" s="1" t="s">
        <v>5</v>
      </c>
      <c r="D3" s="1" t="s">
        <v>4</v>
      </c>
      <c r="E3" s="1" t="s">
        <v>6</v>
      </c>
    </row>
    <row r="4" spans="1:5" x14ac:dyDescent="0.65">
      <c r="A4" t="s">
        <v>2</v>
      </c>
      <c r="B4" t="s">
        <v>7</v>
      </c>
      <c r="C4" t="s">
        <v>10</v>
      </c>
      <c r="D4" t="s">
        <v>11</v>
      </c>
      <c r="E4" t="s">
        <v>9</v>
      </c>
    </row>
    <row r="5" spans="1:5" x14ac:dyDescent="0.65">
      <c r="A5">
        <v>1</v>
      </c>
      <c r="B5" t="s">
        <v>15</v>
      </c>
      <c r="C5" t="s">
        <v>16</v>
      </c>
      <c r="D5" t="s">
        <v>17</v>
      </c>
      <c r="E5" s="2" t="s">
        <v>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13FF-E2AE-4297-A8C7-6F004F422B87}">
  <sheetPr codeName="Sheet2"/>
  <dimension ref="A1:M6"/>
  <sheetViews>
    <sheetView topLeftCell="C1" workbookViewId="0">
      <selection activeCell="H6" sqref="H6"/>
    </sheetView>
  </sheetViews>
  <sheetFormatPr defaultRowHeight="18.45" x14ac:dyDescent="0.65"/>
  <cols>
    <col min="1" max="1" width="48.140625" bestFit="1" customWidth="1"/>
    <col min="2" max="2" width="29.85546875" bestFit="1" customWidth="1"/>
    <col min="3" max="4" width="39.85546875" bestFit="1" customWidth="1"/>
    <col min="5" max="5" width="38.85546875" bestFit="1" customWidth="1"/>
    <col min="6" max="6" width="31.7109375" bestFit="1" customWidth="1"/>
    <col min="7" max="7" width="41.5" bestFit="1" customWidth="1"/>
    <col min="8" max="8" width="26" bestFit="1" customWidth="1"/>
    <col min="9" max="9" width="27.2109375" bestFit="1" customWidth="1"/>
    <col min="10" max="10" width="20.35546875" bestFit="1" customWidth="1"/>
    <col min="11" max="11" width="25.140625" bestFit="1" customWidth="1"/>
    <col min="12" max="12" width="58.2109375" bestFit="1" customWidth="1"/>
  </cols>
  <sheetData>
    <row r="1" spans="1:13" x14ac:dyDescent="0.65">
      <c r="A1" t="s">
        <v>35</v>
      </c>
      <c r="B1" t="s">
        <v>77</v>
      </c>
    </row>
    <row r="3" spans="1:13" x14ac:dyDescent="0.65">
      <c r="A3" s="1" t="s">
        <v>0</v>
      </c>
      <c r="B3" s="1" t="s">
        <v>78</v>
      </c>
      <c r="C3" s="1" t="s">
        <v>104</v>
      </c>
      <c r="D3" s="1" t="s">
        <v>108</v>
      </c>
      <c r="E3" s="1" t="s">
        <v>82</v>
      </c>
      <c r="F3" s="1" t="s">
        <v>83</v>
      </c>
      <c r="G3" s="1" t="s">
        <v>55</v>
      </c>
      <c r="H3" s="1" t="s">
        <v>56</v>
      </c>
      <c r="I3" s="1" t="s">
        <v>84</v>
      </c>
      <c r="J3" s="1" t="s">
        <v>85</v>
      </c>
      <c r="K3" s="1" t="s">
        <v>3</v>
      </c>
      <c r="L3" s="1" t="s">
        <v>105</v>
      </c>
      <c r="M3" s="1" t="s">
        <v>86</v>
      </c>
    </row>
    <row r="4" spans="1:13" x14ac:dyDescent="0.65">
      <c r="A4" t="s">
        <v>2</v>
      </c>
      <c r="B4" t="s">
        <v>1</v>
      </c>
      <c r="C4" s="6" t="s">
        <v>96</v>
      </c>
      <c r="D4" t="s">
        <v>22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48</v>
      </c>
    </row>
    <row r="5" spans="1:13" x14ac:dyDescent="0.65">
      <c r="A5">
        <v>0</v>
      </c>
      <c r="B5" t="s">
        <v>14</v>
      </c>
      <c r="C5" s="5" t="s">
        <v>90</v>
      </c>
      <c r="D5" t="str">
        <f>LookupAndJoin(Card_MTG[[#This Row],['#CardTypeNames:string'[']]], CardTypeName[Name:string], CardTypeName[Id:int])</f>
        <v>1</v>
      </c>
      <c r="E5" t="s">
        <v>14</v>
      </c>
      <c r="F5" t="s">
        <v>14</v>
      </c>
      <c r="G5">
        <v>0</v>
      </c>
      <c r="H5" t="s">
        <v>180</v>
      </c>
      <c r="I5">
        <v>1</v>
      </c>
      <c r="J5">
        <v>1</v>
      </c>
      <c r="K5">
        <v>1</v>
      </c>
      <c r="L5" s="5" t="str">
        <f>INDEX(CardCollection_MTG[Name.ShortName:string], MATCH(Card_MTG[CollectionId: int], CardCollection_MTG[Id:int], 0))</f>
        <v>FIN_G</v>
      </c>
      <c r="M5" t="s">
        <v>34</v>
      </c>
    </row>
    <row r="6" spans="1:13" ht="55.3" x14ac:dyDescent="0.65">
      <c r="A6" t="s">
        <v>87</v>
      </c>
      <c r="B6" s="3" t="s">
        <v>21</v>
      </c>
      <c r="C6" s="4" t="s">
        <v>20</v>
      </c>
      <c r="E6" s="3" t="s">
        <v>24</v>
      </c>
      <c r="F6" s="3" t="s">
        <v>26</v>
      </c>
      <c r="G6" s="4" t="s">
        <v>27</v>
      </c>
      <c r="H6" s="7" t="s">
        <v>32</v>
      </c>
      <c r="L6" t="s">
        <v>49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29F5-1905-4A3D-B524-E76337E69DD7}">
  <sheetPr codeName="Sheet3"/>
  <dimension ref="A1:J9"/>
  <sheetViews>
    <sheetView workbookViewId="0"/>
  </sheetViews>
  <sheetFormatPr defaultRowHeight="18.45" x14ac:dyDescent="0.65"/>
  <cols>
    <col min="2" max="2" width="29.85546875" bestFit="1" customWidth="1"/>
    <col min="3" max="3" width="21.85546875" bestFit="1" customWidth="1"/>
    <col min="4" max="4" width="25.85546875" bestFit="1" customWidth="1"/>
    <col min="5" max="5" width="29.140625" bestFit="1" customWidth="1"/>
    <col min="6" max="6" width="27.7109375" bestFit="1" customWidth="1"/>
    <col min="7" max="8" width="26.2109375" bestFit="1" customWidth="1"/>
    <col min="9" max="9" width="24" bestFit="1" customWidth="1"/>
    <col min="10" max="10" width="21" bestFit="1" customWidth="1"/>
  </cols>
  <sheetData>
    <row r="1" spans="1:10" x14ac:dyDescent="0.65">
      <c r="A1" t="s">
        <v>35</v>
      </c>
      <c r="B1" t="s">
        <v>50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153</v>
      </c>
    </row>
    <row r="4" spans="1:10" x14ac:dyDescent="0.65">
      <c r="A4" t="s">
        <v>2</v>
      </c>
      <c r="B4" t="s">
        <v>36</v>
      </c>
      <c r="C4" s="6" t="s">
        <v>80</v>
      </c>
      <c r="D4" t="s">
        <v>81</v>
      </c>
      <c r="E4" s="6" t="s">
        <v>101</v>
      </c>
      <c r="F4" t="s">
        <v>58</v>
      </c>
      <c r="G4" t="s">
        <v>51</v>
      </c>
      <c r="H4" t="s">
        <v>52</v>
      </c>
      <c r="I4" t="s">
        <v>47</v>
      </c>
      <c r="J4" t="s">
        <v>152</v>
      </c>
    </row>
    <row r="5" spans="1:10" x14ac:dyDescent="0.65">
      <c r="A5">
        <v>1</v>
      </c>
      <c r="B5" t="s">
        <v>34</v>
      </c>
      <c r="C5" s="5" t="s">
        <v>39</v>
      </c>
      <c r="D5">
        <f>INDEX(AbilityTypeName[Id:int], MATCH(Card_MTG_Abilities['#AbilityTypeName:string], AbilityTypeName[Name:string], 0))</f>
        <v>1</v>
      </c>
      <c r="E5" s="5" t="s">
        <v>34</v>
      </c>
      <c r="F5" t="str" cm="1">
        <f t="array" ref="F5">LookupAndJoin(Card_MTG_Abilities[[#This Row],['#TriggerEventsName:string'[']]], TriggerEventName[Name:string], TriggerEventName[Id:int])</f>
        <v>1</v>
      </c>
      <c r="G5" s="8">
        <v>0</v>
      </c>
      <c r="H5" t="s">
        <v>154</v>
      </c>
      <c r="I5" t="s">
        <v>154</v>
      </c>
      <c r="J5" t="s">
        <v>154</v>
      </c>
    </row>
    <row r="7" spans="1:10" x14ac:dyDescent="0.65">
      <c r="B7" t="s">
        <v>170</v>
      </c>
      <c r="H7" t="s">
        <v>155</v>
      </c>
    </row>
    <row r="8" spans="1:10" x14ac:dyDescent="0.65">
      <c r="B8" t="s">
        <v>169</v>
      </c>
      <c r="H8" t="s">
        <v>157</v>
      </c>
    </row>
    <row r="9" spans="1:10" x14ac:dyDescent="0.65">
      <c r="H9" t="s">
        <v>158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459B-9C75-4D2A-A799-7871753C3D0D}">
  <sheetPr codeName="Sheet4"/>
  <dimension ref="A1:B11"/>
  <sheetViews>
    <sheetView workbookViewId="0">
      <selection activeCell="B7" sqref="B7"/>
    </sheetView>
  </sheetViews>
  <sheetFormatPr defaultRowHeight="18.45" x14ac:dyDescent="0.65"/>
  <cols>
    <col min="2" max="2" width="29.85546875" bestFit="1" customWidth="1"/>
  </cols>
  <sheetData>
    <row r="1" spans="1:2" x14ac:dyDescent="0.65">
      <c r="A1" t="s">
        <v>35</v>
      </c>
      <c r="B1" t="s">
        <v>89</v>
      </c>
    </row>
    <row r="3" spans="1:2" x14ac:dyDescent="0.65">
      <c r="A3" s="1" t="s">
        <v>37</v>
      </c>
      <c r="B3" s="1" t="s">
        <v>38</v>
      </c>
    </row>
    <row r="4" spans="1:2" x14ac:dyDescent="0.65">
      <c r="A4" t="s">
        <v>2</v>
      </c>
      <c r="B4" t="s">
        <v>36</v>
      </c>
    </row>
    <row r="5" spans="1:2" x14ac:dyDescent="0.65">
      <c r="A5">
        <v>1</v>
      </c>
      <c r="B5" t="s">
        <v>90</v>
      </c>
    </row>
    <row r="6" spans="1:2" x14ac:dyDescent="0.65">
      <c r="A6">
        <v>2</v>
      </c>
      <c r="B6" t="s">
        <v>91</v>
      </c>
    </row>
    <row r="7" spans="1:2" x14ac:dyDescent="0.65">
      <c r="A7">
        <v>3</v>
      </c>
      <c r="B7" t="s">
        <v>92</v>
      </c>
    </row>
    <row r="8" spans="1:2" x14ac:dyDescent="0.65">
      <c r="A8">
        <v>4</v>
      </c>
      <c r="B8" t="s">
        <v>93</v>
      </c>
    </row>
    <row r="9" spans="1:2" x14ac:dyDescent="0.65">
      <c r="A9">
        <v>5</v>
      </c>
      <c r="B9" t="s">
        <v>41</v>
      </c>
    </row>
    <row r="10" spans="1:2" x14ac:dyDescent="0.65">
      <c r="A10">
        <v>6</v>
      </c>
      <c r="B10" t="s">
        <v>42</v>
      </c>
    </row>
    <row r="11" spans="1:2" x14ac:dyDescent="0.65">
      <c r="A11">
        <v>7</v>
      </c>
      <c r="B11" t="s">
        <v>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03FF-C9B3-46BD-9B1F-A65F89652373}">
  <sheetPr codeName="Sheet5"/>
  <dimension ref="A1:D8"/>
  <sheetViews>
    <sheetView workbookViewId="0"/>
  </sheetViews>
  <sheetFormatPr defaultRowHeight="18.45" x14ac:dyDescent="0.65"/>
  <cols>
    <col min="2" max="2" width="29.85546875" bestFit="1" customWidth="1"/>
  </cols>
  <sheetData>
    <row r="1" spans="1:4" x14ac:dyDescent="0.65">
      <c r="A1" t="s">
        <v>35</v>
      </c>
      <c r="B1" t="s">
        <v>79</v>
      </c>
    </row>
    <row r="3" spans="1:4" x14ac:dyDescent="0.65">
      <c r="A3" s="1" t="s">
        <v>37</v>
      </c>
      <c r="B3" s="1" t="s">
        <v>38</v>
      </c>
    </row>
    <row r="4" spans="1:4" x14ac:dyDescent="0.65">
      <c r="A4" t="s">
        <v>2</v>
      </c>
      <c r="B4" t="s">
        <v>36</v>
      </c>
    </row>
    <row r="5" spans="1:4" x14ac:dyDescent="0.65">
      <c r="A5">
        <v>1</v>
      </c>
      <c r="B5" t="s">
        <v>39</v>
      </c>
      <c r="D5" t="s">
        <v>46</v>
      </c>
    </row>
    <row r="6" spans="1:4" x14ac:dyDescent="0.65">
      <c r="A6">
        <v>2</v>
      </c>
      <c r="B6" t="s">
        <v>40</v>
      </c>
      <c r="D6" t="s">
        <v>45</v>
      </c>
    </row>
    <row r="7" spans="1:4" x14ac:dyDescent="0.65">
      <c r="A7">
        <v>3</v>
      </c>
      <c r="B7" t="s">
        <v>41</v>
      </c>
      <c r="D7" t="s">
        <v>43</v>
      </c>
    </row>
    <row r="8" spans="1:4" x14ac:dyDescent="0.65">
      <c r="A8">
        <v>4</v>
      </c>
      <c r="B8" t="s">
        <v>42</v>
      </c>
      <c r="D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F5BAD-9EC7-4E00-BB6F-B10CA27EE1CE}">
  <sheetPr codeName="Sheet6"/>
  <dimension ref="A1:E24"/>
  <sheetViews>
    <sheetView workbookViewId="0">
      <selection activeCell="D23" sqref="D23"/>
    </sheetView>
  </sheetViews>
  <sheetFormatPr defaultRowHeight="18.45" x14ac:dyDescent="0.65"/>
  <cols>
    <col min="2" max="2" width="29.85546875" bestFit="1" customWidth="1"/>
    <col min="3" max="3" width="46" bestFit="1" customWidth="1"/>
  </cols>
  <sheetData>
    <row r="1" spans="1:3" x14ac:dyDescent="0.65">
      <c r="A1" t="s">
        <v>35</v>
      </c>
      <c r="B1" t="s">
        <v>59</v>
      </c>
    </row>
    <row r="3" spans="1:3" x14ac:dyDescent="0.65">
      <c r="A3" s="1" t="s">
        <v>37</v>
      </c>
      <c r="B3" s="1" t="s">
        <v>38</v>
      </c>
      <c r="C3" s="1" t="s">
        <v>62</v>
      </c>
    </row>
    <row r="4" spans="1:3" x14ac:dyDescent="0.65">
      <c r="A4" t="s">
        <v>2</v>
      </c>
      <c r="B4" t="s">
        <v>36</v>
      </c>
      <c r="C4" s="6" t="s">
        <v>63</v>
      </c>
    </row>
    <row r="5" spans="1:3" x14ac:dyDescent="0.65">
      <c r="A5">
        <v>1</v>
      </c>
      <c r="B5" t="s">
        <v>34</v>
      </c>
      <c r="C5" s="5" t="s">
        <v>100</v>
      </c>
    </row>
    <row r="6" spans="1:3" x14ac:dyDescent="0.65">
      <c r="A6">
        <v>2</v>
      </c>
      <c r="B6" t="s">
        <v>65</v>
      </c>
      <c r="C6" s="5" t="s">
        <v>64</v>
      </c>
    </row>
    <row r="7" spans="1:3" x14ac:dyDescent="0.65">
      <c r="A7">
        <v>3</v>
      </c>
      <c r="B7" t="s">
        <v>60</v>
      </c>
      <c r="C7" s="5" t="s">
        <v>61</v>
      </c>
    </row>
    <row r="8" spans="1:3" x14ac:dyDescent="0.65">
      <c r="A8">
        <v>4</v>
      </c>
      <c r="B8" t="s">
        <v>244</v>
      </c>
      <c r="C8" s="5" t="s">
        <v>245</v>
      </c>
    </row>
    <row r="9" spans="1:3" x14ac:dyDescent="0.65">
      <c r="A9">
        <v>5</v>
      </c>
      <c r="B9" t="s">
        <v>232</v>
      </c>
      <c r="C9" s="5" t="s">
        <v>233</v>
      </c>
    </row>
    <row r="10" spans="1:3" x14ac:dyDescent="0.65">
      <c r="A10">
        <v>6</v>
      </c>
      <c r="B10" t="s">
        <v>68</v>
      </c>
      <c r="C10" s="5" t="s">
        <v>69</v>
      </c>
    </row>
    <row r="11" spans="1:3" x14ac:dyDescent="0.65">
      <c r="A11">
        <v>7</v>
      </c>
      <c r="B11" t="s">
        <v>72</v>
      </c>
      <c r="C11" s="5" t="s">
        <v>73</v>
      </c>
    </row>
    <row r="12" spans="1:3" x14ac:dyDescent="0.65">
      <c r="A12">
        <v>8</v>
      </c>
      <c r="B12" t="s">
        <v>70</v>
      </c>
      <c r="C12" s="5" t="s">
        <v>71</v>
      </c>
    </row>
    <row r="13" spans="1:3" x14ac:dyDescent="0.65">
      <c r="A13">
        <v>9</v>
      </c>
      <c r="B13" t="s">
        <v>146</v>
      </c>
      <c r="C13" s="5" t="s">
        <v>74</v>
      </c>
    </row>
    <row r="14" spans="1:3" x14ac:dyDescent="0.65">
      <c r="A14">
        <v>10</v>
      </c>
      <c r="B14" t="s">
        <v>76</v>
      </c>
      <c r="C14" s="5" t="s">
        <v>75</v>
      </c>
    </row>
    <row r="15" spans="1:3" x14ac:dyDescent="0.65">
      <c r="A15">
        <v>11</v>
      </c>
      <c r="B15" t="s">
        <v>66</v>
      </c>
      <c r="C15" s="5" t="s">
        <v>67</v>
      </c>
    </row>
    <row r="16" spans="1:3" x14ac:dyDescent="0.65">
      <c r="A16">
        <v>12</v>
      </c>
      <c r="B16" t="s">
        <v>142</v>
      </c>
      <c r="C16" s="5" t="s">
        <v>143</v>
      </c>
    </row>
    <row r="17" spans="1:5" x14ac:dyDescent="0.65">
      <c r="A17">
        <v>13</v>
      </c>
      <c r="B17" t="s">
        <v>144</v>
      </c>
      <c r="C17" s="5" t="s">
        <v>145</v>
      </c>
    </row>
    <row r="18" spans="1:5" x14ac:dyDescent="0.65">
      <c r="A18">
        <v>14</v>
      </c>
      <c r="B18" t="s">
        <v>204</v>
      </c>
      <c r="C18" s="5" t="s">
        <v>203</v>
      </c>
    </row>
    <row r="19" spans="1:5" x14ac:dyDescent="0.65">
      <c r="A19">
        <v>15</v>
      </c>
      <c r="B19" t="s">
        <v>249</v>
      </c>
      <c r="C19" s="5" t="s">
        <v>250</v>
      </c>
    </row>
    <row r="20" spans="1:5" x14ac:dyDescent="0.65">
      <c r="A20">
        <v>16</v>
      </c>
      <c r="B20" t="s">
        <v>197</v>
      </c>
      <c r="C20" s="5" t="s">
        <v>218</v>
      </c>
    </row>
    <row r="21" spans="1:5" x14ac:dyDescent="0.65">
      <c r="A21">
        <v>17</v>
      </c>
      <c r="B21" t="s">
        <v>219</v>
      </c>
      <c r="C21" s="5" t="s">
        <v>220</v>
      </c>
      <c r="E21" t="s">
        <v>224</v>
      </c>
    </row>
    <row r="22" spans="1:5" x14ac:dyDescent="0.65">
      <c r="C22" s="5"/>
    </row>
    <row r="23" spans="1:5" x14ac:dyDescent="0.65">
      <c r="C23" s="5"/>
    </row>
    <row r="24" spans="1:5" x14ac:dyDescent="0.65">
      <c r="C24" s="5"/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E22-4EED-4050-9389-FFD0CFB32261}">
  <sheetPr codeName="Sheet7"/>
  <dimension ref="A1:N26"/>
  <sheetViews>
    <sheetView workbookViewId="0">
      <selection activeCell="N14" sqref="N14"/>
    </sheetView>
  </sheetViews>
  <sheetFormatPr defaultRowHeight="18.45" x14ac:dyDescent="0.65"/>
  <cols>
    <col min="2" max="2" width="32.0703125" bestFit="1" customWidth="1"/>
    <col min="3" max="3" width="37.140625" bestFit="1" customWidth="1"/>
    <col min="4" max="4" width="39.85546875" bestFit="1" customWidth="1"/>
    <col min="5" max="5" width="24.140625" bestFit="1" customWidth="1"/>
    <col min="6" max="6" width="30.140625" bestFit="1" customWidth="1"/>
    <col min="7" max="7" width="36.78515625" bestFit="1" customWidth="1"/>
    <col min="8" max="8" width="25.42578125" bestFit="1" customWidth="1"/>
    <col min="9" max="9" width="31.5703125" bestFit="1" customWidth="1"/>
    <col min="10" max="10" width="26" bestFit="1" customWidth="1"/>
    <col min="11" max="11" width="27.28515625" bestFit="1" customWidth="1"/>
    <col min="12" max="12" width="20.42578125" bestFit="1" customWidth="1"/>
    <col min="13" max="13" width="25.0703125" bestFit="1" customWidth="1"/>
    <col min="14" max="14" width="146.0703125" bestFit="1" customWidth="1"/>
  </cols>
  <sheetData>
    <row r="1" spans="1:14" x14ac:dyDescent="0.65">
      <c r="A1" t="s">
        <v>35</v>
      </c>
      <c r="B1" t="s">
        <v>17</v>
      </c>
    </row>
    <row r="3" spans="1:14" x14ac:dyDescent="0.65">
      <c r="A3" s="1" t="s">
        <v>0</v>
      </c>
      <c r="B3" s="1" t="s">
        <v>78</v>
      </c>
      <c r="C3" s="1" t="s">
        <v>104</v>
      </c>
      <c r="D3" s="1" t="s">
        <v>109</v>
      </c>
      <c r="E3" s="1" t="s">
        <v>184</v>
      </c>
      <c r="F3" s="1" t="s">
        <v>98</v>
      </c>
      <c r="G3" s="1" t="s">
        <v>83</v>
      </c>
      <c r="H3" s="1" t="s">
        <v>55</v>
      </c>
      <c r="I3" s="1" t="s">
        <v>56</v>
      </c>
      <c r="J3" s="1" t="s">
        <v>84</v>
      </c>
      <c r="K3" s="1" t="s">
        <v>85</v>
      </c>
      <c r="L3" s="1" t="s">
        <v>3</v>
      </c>
      <c r="M3" s="1" t="s">
        <v>105</v>
      </c>
      <c r="N3" s="1" t="s">
        <v>86</v>
      </c>
    </row>
    <row r="4" spans="1:14" x14ac:dyDescent="0.65">
      <c r="A4" t="s">
        <v>2</v>
      </c>
      <c r="B4" t="s">
        <v>1</v>
      </c>
      <c r="C4" t="s">
        <v>96</v>
      </c>
      <c r="D4" s="6" t="s">
        <v>95</v>
      </c>
      <c r="E4" t="s">
        <v>185</v>
      </c>
      <c r="F4" t="s">
        <v>23</v>
      </c>
      <c r="G4" t="s">
        <v>25</v>
      </c>
      <c r="H4" t="s">
        <v>31</v>
      </c>
      <c r="I4" t="s">
        <v>33</v>
      </c>
      <c r="J4" t="s">
        <v>28</v>
      </c>
      <c r="K4" t="s">
        <v>29</v>
      </c>
      <c r="L4" t="s">
        <v>12</v>
      </c>
      <c r="M4" s="6" t="s">
        <v>30</v>
      </c>
      <c r="N4" t="s">
        <v>48</v>
      </c>
    </row>
    <row r="5" spans="1:14" x14ac:dyDescent="0.65">
      <c r="A5">
        <v>10171</v>
      </c>
      <c r="B5" t="s">
        <v>88</v>
      </c>
      <c r="C5" t="s">
        <v>41</v>
      </c>
      <c r="D5" s="5" t="str">
        <f>LookupAndJoin(Card_FIN_G[[#This Row],['#CardTypeNames:string'[']]], CardTypeName[Name:string], CardTypeName[Id:int])</f>
        <v>5</v>
      </c>
      <c r="E5" t="s">
        <v>186</v>
      </c>
      <c r="F5" t="s">
        <v>34</v>
      </c>
      <c r="G5" t="s">
        <v>34</v>
      </c>
      <c r="H5" t="s">
        <v>97</v>
      </c>
      <c r="I5" t="s">
        <v>180</v>
      </c>
      <c r="J5">
        <v>0</v>
      </c>
      <c r="K5">
        <v>0</v>
      </c>
      <c r="L5">
        <v>1</v>
      </c>
      <c r="M5" s="5" t="str">
        <f>INDEX(CardCollection_MTG[Name.ShortName:string], MATCH(Card_FIN_G[[#This Row],[CollectionId: int]], CardCollection_MTG[Id:int], 0))</f>
        <v>FIN_G</v>
      </c>
      <c r="N5" t="s">
        <v>171</v>
      </c>
    </row>
    <row r="6" spans="1:14" x14ac:dyDescent="0.65">
      <c r="A6">
        <v>10172</v>
      </c>
      <c r="B6" t="s">
        <v>136</v>
      </c>
      <c r="C6" t="s">
        <v>91</v>
      </c>
      <c r="D6" s="5" t="str">
        <f>LookupAndJoin(Card_FIN_G[[#This Row],['#CardTypeNames:string'[']]], CardTypeName[Name:string], CardTypeName[Id:int])</f>
        <v>2</v>
      </c>
      <c r="E6" t="s">
        <v>186</v>
      </c>
      <c r="F6" t="s">
        <v>137</v>
      </c>
      <c r="G6" t="s">
        <v>139</v>
      </c>
      <c r="H6" t="s">
        <v>138</v>
      </c>
      <c r="I6" t="s">
        <v>180</v>
      </c>
      <c r="J6">
        <v>8</v>
      </c>
      <c r="K6">
        <v>20</v>
      </c>
      <c r="L6">
        <v>1</v>
      </c>
      <c r="M6" s="5" t="str">
        <f>INDEX(CardCollection_MTG[Name.ShortName:string], MATCH(Card_FIN_G[[#This Row],[CollectionId: int]], CardCollection_MTG[Id:int], 0))</f>
        <v>FIN_G</v>
      </c>
      <c r="N6" t="s">
        <v>178</v>
      </c>
    </row>
    <row r="7" spans="1:14" x14ac:dyDescent="0.65">
      <c r="A7">
        <v>10173</v>
      </c>
      <c r="B7" t="s">
        <v>147</v>
      </c>
      <c r="C7" t="s">
        <v>91</v>
      </c>
      <c r="D7" s="5" t="str">
        <f>LookupAndJoin(Card_FIN_G[[#This Row],['#CardTypeNames:string'[']]], CardTypeName[Name:string], CardTypeName[Id:int])</f>
        <v>2</v>
      </c>
      <c r="E7" t="s">
        <v>186</v>
      </c>
      <c r="F7" t="s">
        <v>148</v>
      </c>
      <c r="G7" t="s">
        <v>149</v>
      </c>
      <c r="H7" t="s">
        <v>150</v>
      </c>
      <c r="I7" t="s">
        <v>180</v>
      </c>
      <c r="J7">
        <v>6</v>
      </c>
      <c r="K7">
        <v>6</v>
      </c>
      <c r="L7">
        <v>1</v>
      </c>
      <c r="M7" s="5" t="str">
        <f>INDEX(CardCollection_MTG[Name.ShortName:string], MATCH(Card_FIN_G[[#This Row],[CollectionId: int]], CardCollection_MTG[Id:int], 0))</f>
        <v>FIN_G</v>
      </c>
      <c r="N7" t="s">
        <v>177</v>
      </c>
    </row>
    <row r="8" spans="1:14" x14ac:dyDescent="0.65">
      <c r="A8">
        <v>10174</v>
      </c>
      <c r="B8" t="s">
        <v>175</v>
      </c>
      <c r="C8" t="s">
        <v>93</v>
      </c>
      <c r="D8" s="5" t="str">
        <f>LookupAndJoin(Card_FIN_G[[#This Row],['#CardTypeNames:string'[']]], CardTypeName[Name:string], CardTypeName[Id:int])</f>
        <v>4</v>
      </c>
      <c r="E8" t="s">
        <v>186</v>
      </c>
      <c r="F8" t="s">
        <v>176</v>
      </c>
      <c r="G8" t="s">
        <v>34</v>
      </c>
      <c r="H8" t="s">
        <v>97</v>
      </c>
      <c r="I8" t="s">
        <v>180</v>
      </c>
      <c r="J8">
        <v>0</v>
      </c>
      <c r="K8">
        <v>0</v>
      </c>
      <c r="L8">
        <v>1</v>
      </c>
      <c r="M8" s="5" t="str">
        <f>INDEX(CardCollection_MTG[Name.ShortName:string], MATCH(Card_FIN_G[[#This Row],[CollectionId: int]], CardCollection_MTG[Id:int], 0))</f>
        <v>FIN_G</v>
      </c>
      <c r="N8" t="s">
        <v>234</v>
      </c>
    </row>
    <row r="9" spans="1:14" x14ac:dyDescent="0.65">
      <c r="A9">
        <v>10175</v>
      </c>
      <c r="B9" t="s">
        <v>199</v>
      </c>
      <c r="C9" t="s">
        <v>91</v>
      </c>
      <c r="D9" s="5" t="str">
        <f>LookupAndJoin(Card_FIN_G[[#This Row],['#CardTypeNames:string'[']]], CardTypeName[Name:string], CardTypeName[Id:int])</f>
        <v>2</v>
      </c>
      <c r="E9" t="s">
        <v>186</v>
      </c>
      <c r="F9" t="s">
        <v>200</v>
      </c>
      <c r="G9" t="s">
        <v>34</v>
      </c>
      <c r="H9" t="s">
        <v>201</v>
      </c>
      <c r="I9" t="s">
        <v>205</v>
      </c>
      <c r="J9">
        <v>4</v>
      </c>
      <c r="K9">
        <v>3</v>
      </c>
      <c r="L9">
        <v>1</v>
      </c>
      <c r="M9" s="5" t="str">
        <f>INDEX(CardCollection_MTG[Name.ShortName:string], MATCH(Card_FIN_G[[#This Row],[CollectionId: int]], CardCollection_MTG[Id:int], 0))</f>
        <v>FIN_G</v>
      </c>
      <c r="N9" t="s">
        <v>202</v>
      </c>
    </row>
    <row r="10" spans="1:14" x14ac:dyDescent="0.65">
      <c r="A10">
        <v>10176</v>
      </c>
      <c r="B10" t="s">
        <v>216</v>
      </c>
      <c r="C10" t="s">
        <v>41</v>
      </c>
      <c r="D10" s="5" t="str">
        <f>LookupAndJoin(Card_FIN_G[[#This Row],['#CardTypeNames:string'[']]], CardTypeName[Name:string], CardTypeName[Id:int])</f>
        <v>5</v>
      </c>
      <c r="E10" t="s">
        <v>186</v>
      </c>
      <c r="F10" t="s">
        <v>34</v>
      </c>
      <c r="G10" t="s">
        <v>34</v>
      </c>
      <c r="H10" t="s">
        <v>217</v>
      </c>
      <c r="I10" t="s">
        <v>180</v>
      </c>
      <c r="J10">
        <v>0</v>
      </c>
      <c r="K10">
        <v>0</v>
      </c>
      <c r="L10">
        <v>1</v>
      </c>
      <c r="M10" s="5" t="str">
        <f>INDEX(CardCollection_MTG[Name.ShortName:string], MATCH(Card_FIN_G[[#This Row],[CollectionId: int]], CardCollection_MTG[Id:int], 0))</f>
        <v>FIN_G</v>
      </c>
      <c r="N10" t="s">
        <v>235</v>
      </c>
    </row>
    <row r="11" spans="1:14" x14ac:dyDescent="0.65">
      <c r="A11">
        <v>10177</v>
      </c>
      <c r="B11" t="s">
        <v>242</v>
      </c>
      <c r="C11" t="s">
        <v>91</v>
      </c>
      <c r="D11" s="5" t="str">
        <f>LookupAndJoin(Card_FIN_G[[#This Row],['#CardTypeNames:string'[']]], CardTypeName[Name:string], CardTypeName[Id:int])</f>
        <v>2</v>
      </c>
      <c r="E11" t="s">
        <v>186</v>
      </c>
      <c r="F11" t="s">
        <v>243</v>
      </c>
      <c r="G11" t="s">
        <v>149</v>
      </c>
      <c r="H11" t="s">
        <v>186</v>
      </c>
      <c r="I11" t="s">
        <v>180</v>
      </c>
      <c r="J11">
        <v>3</v>
      </c>
      <c r="K11">
        <v>3</v>
      </c>
      <c r="L11">
        <v>1</v>
      </c>
      <c r="M11" s="5" t="str">
        <f>INDEX(CardCollection_MTG[Name.ShortName:string], MATCH(Card_FIN_G[[#This Row],[CollectionId: int]], CardCollection_MTG[Id:int], 0))</f>
        <v>FIN_G</v>
      </c>
      <c r="N11" t="s">
        <v>246</v>
      </c>
    </row>
    <row r="12" spans="1:14" x14ac:dyDescent="0.65">
      <c r="A12">
        <v>10178</v>
      </c>
      <c r="B12" t="s">
        <v>248</v>
      </c>
      <c r="C12" t="s">
        <v>42</v>
      </c>
      <c r="D12" s="5" t="str">
        <f>LookupAndJoin(Card_FIN_G[[#This Row],['#CardTypeNames:string'[']]], CardTypeName[Name:string], CardTypeName[Id:int])</f>
        <v>6</v>
      </c>
      <c r="E12" t="s">
        <v>186</v>
      </c>
      <c r="F12" t="s">
        <v>34</v>
      </c>
      <c r="G12" t="s">
        <v>34</v>
      </c>
      <c r="H12" t="s">
        <v>217</v>
      </c>
      <c r="I12" t="s">
        <v>251</v>
      </c>
      <c r="J12">
        <v>0</v>
      </c>
      <c r="K12">
        <v>0</v>
      </c>
      <c r="L12">
        <v>1</v>
      </c>
      <c r="M12" s="5" t="str">
        <f>INDEX(CardCollection_MTG[Name.ShortName:string], MATCH(Card_FIN_G[[#This Row],[CollectionId: int]], CardCollection_MTG[Id:int], 0))</f>
        <v>FIN_G</v>
      </c>
      <c r="N12" t="s">
        <v>253</v>
      </c>
    </row>
    <row r="13" spans="1:14" x14ac:dyDescent="0.65">
      <c r="A13">
        <v>10179</v>
      </c>
      <c r="B13" t="s">
        <v>256</v>
      </c>
      <c r="C13" t="s">
        <v>93</v>
      </c>
      <c r="D13" s="5" t="str">
        <f>LookupAndJoin(Card_FIN_G[[#This Row],['#CardTypeNames:string'[']]], CardTypeName[Name:string], CardTypeName[Id:int])</f>
        <v>4</v>
      </c>
      <c r="E13" t="s">
        <v>186</v>
      </c>
      <c r="F13" t="s">
        <v>34</v>
      </c>
      <c r="G13" t="s">
        <v>34</v>
      </c>
      <c r="H13" t="s">
        <v>201</v>
      </c>
      <c r="I13" t="s">
        <v>180</v>
      </c>
      <c r="J13">
        <v>0</v>
      </c>
      <c r="K13">
        <v>0</v>
      </c>
      <c r="L13">
        <v>1</v>
      </c>
      <c r="M13" s="5" t="str">
        <f>INDEX(CardCollection_MTG[Name.ShortName:string], MATCH(Card_FIN_G[[#This Row],[CollectionId: int]], CardCollection_MTG[Id:int], 0))</f>
        <v>FIN_G</v>
      </c>
      <c r="N13" t="s">
        <v>262</v>
      </c>
    </row>
    <row r="14" spans="1:14" x14ac:dyDescent="0.65">
      <c r="A14">
        <v>10180</v>
      </c>
      <c r="B14" t="s">
        <v>88</v>
      </c>
      <c r="C14" t="s">
        <v>41</v>
      </c>
      <c r="D14" s="5" t="str">
        <f>LookupAndJoin(Card_FIN_G[[#This Row],['#CardTypeNames:string'[']]], CardTypeName[Name:string], CardTypeName[Id:int])</f>
        <v>5</v>
      </c>
      <c r="E14" t="s">
        <v>186</v>
      </c>
      <c r="F14" t="s">
        <v>34</v>
      </c>
      <c r="G14" t="s">
        <v>34</v>
      </c>
      <c r="H14" t="s">
        <v>110</v>
      </c>
      <c r="I14" t="s">
        <v>180</v>
      </c>
      <c r="J14">
        <v>0</v>
      </c>
      <c r="K14">
        <v>0</v>
      </c>
      <c r="L14">
        <v>1</v>
      </c>
      <c r="M14" s="5" t="str">
        <f>INDEX(CardCollection_MTG[Name.ShortName:string], MATCH(Card_FIN_G[[#This Row],[CollectionId: int]], CardCollection_MTG[Id:int], 0))</f>
        <v>FIN_G</v>
      </c>
      <c r="N14" t="s">
        <v>111</v>
      </c>
    </row>
    <row r="15" spans="1:14" x14ac:dyDescent="0.65">
      <c r="A15">
        <v>10181</v>
      </c>
      <c r="B15" t="s">
        <v>88</v>
      </c>
      <c r="C15" t="s">
        <v>41</v>
      </c>
      <c r="D15" s="5" t="str">
        <f>LookupAndJoin(Card_FIN_G[[#This Row],['#CardTypeNames:string'[']]], CardTypeName[Name:string], CardTypeName[Id:int])</f>
        <v>5</v>
      </c>
      <c r="E15" t="s">
        <v>186</v>
      </c>
      <c r="F15" t="s">
        <v>34</v>
      </c>
      <c r="G15" t="s">
        <v>34</v>
      </c>
      <c r="H15" t="s">
        <v>112</v>
      </c>
      <c r="I15" t="s">
        <v>180</v>
      </c>
      <c r="J15">
        <v>0</v>
      </c>
      <c r="K15">
        <v>0</v>
      </c>
      <c r="L15">
        <v>1</v>
      </c>
      <c r="M15" s="5" t="str">
        <f>INDEX(CardCollection_MTG[Name.ShortName:string], MATCH(Card_FIN_G[[#This Row],[CollectionId: int]], CardCollection_MTG[Id:int], 0))</f>
        <v>FIN_G</v>
      </c>
      <c r="N15" t="s">
        <v>113</v>
      </c>
    </row>
    <row r="16" spans="1:14" x14ac:dyDescent="0.65">
      <c r="A16">
        <v>10182</v>
      </c>
      <c r="B16" t="s">
        <v>88</v>
      </c>
      <c r="C16" t="s">
        <v>41</v>
      </c>
      <c r="D16" s="5" t="str">
        <f>LookupAndJoin(Card_FIN_G[[#This Row],['#CardTypeNames:string'[']]], CardTypeName[Name:string], CardTypeName[Id:int])</f>
        <v>5</v>
      </c>
      <c r="E16" t="s">
        <v>186</v>
      </c>
      <c r="F16" t="s">
        <v>34</v>
      </c>
      <c r="G16" t="s">
        <v>34</v>
      </c>
      <c r="H16" t="s">
        <v>114</v>
      </c>
      <c r="I16" t="s">
        <v>180</v>
      </c>
      <c r="J16">
        <v>0</v>
      </c>
      <c r="K16">
        <v>0</v>
      </c>
      <c r="L16">
        <v>1</v>
      </c>
      <c r="M16" s="5" t="str">
        <f>INDEX(CardCollection_MTG[Name.ShortName:string], MATCH(Card_FIN_G[[#This Row],[CollectionId: int]], CardCollection_MTG[Id:int], 0))</f>
        <v>FIN_G</v>
      </c>
      <c r="N16" t="s">
        <v>115</v>
      </c>
    </row>
    <row r="17" spans="1:14" x14ac:dyDescent="0.65">
      <c r="A17">
        <v>10183</v>
      </c>
      <c r="B17" t="s">
        <v>88</v>
      </c>
      <c r="C17" t="s">
        <v>41</v>
      </c>
      <c r="D17" s="5" t="str">
        <f>LookupAndJoin(Card_FIN_G[[#This Row],['#CardTypeNames:string'[']]], CardTypeName[Name:string], CardTypeName[Id:int])</f>
        <v>5</v>
      </c>
      <c r="E17" t="s">
        <v>186</v>
      </c>
      <c r="F17" t="s">
        <v>34</v>
      </c>
      <c r="G17" t="s">
        <v>34</v>
      </c>
      <c r="H17" t="s">
        <v>116</v>
      </c>
      <c r="I17" t="s">
        <v>180</v>
      </c>
      <c r="J17">
        <v>0</v>
      </c>
      <c r="K17">
        <v>0</v>
      </c>
      <c r="L17">
        <v>1</v>
      </c>
      <c r="M17" s="5" t="str">
        <f>INDEX(CardCollection_MTG[Name.ShortName:string], MATCH(Card_FIN_G[[#This Row],[CollectionId: int]], CardCollection_MTG[Id:int], 0))</f>
        <v>FIN_G</v>
      </c>
      <c r="N17" t="s">
        <v>117</v>
      </c>
    </row>
    <row r="18" spans="1:14" x14ac:dyDescent="0.65">
      <c r="A18">
        <v>10184</v>
      </c>
      <c r="B18" t="s">
        <v>88</v>
      </c>
      <c r="C18" t="s">
        <v>41</v>
      </c>
      <c r="D18" s="5" t="str">
        <f>LookupAndJoin(Card_FIN_G[[#This Row],['#CardTypeNames:string'[']]], CardTypeName[Name:string], CardTypeName[Id:int])</f>
        <v>5</v>
      </c>
      <c r="E18" t="s">
        <v>186</v>
      </c>
      <c r="F18" t="s">
        <v>34</v>
      </c>
      <c r="G18" t="s">
        <v>34</v>
      </c>
      <c r="H18" t="s">
        <v>118</v>
      </c>
      <c r="I18" t="s">
        <v>180</v>
      </c>
      <c r="J18">
        <v>0</v>
      </c>
      <c r="K18">
        <v>0</v>
      </c>
      <c r="L18">
        <v>1</v>
      </c>
      <c r="M18" s="5" t="str">
        <f>INDEX(CardCollection_MTG[Name.ShortName:string], MATCH(Card_FIN_G[[#This Row],[CollectionId: int]], CardCollection_MTG[Id:int], 0))</f>
        <v>FIN_G</v>
      </c>
      <c r="N18" t="s">
        <v>119</v>
      </c>
    </row>
    <row r="19" spans="1:14" x14ac:dyDescent="0.65">
      <c r="A19">
        <v>10185</v>
      </c>
      <c r="B19" t="s">
        <v>88</v>
      </c>
      <c r="C19" t="s">
        <v>41</v>
      </c>
      <c r="D19" s="5" t="str">
        <f>LookupAndJoin(Card_FIN_G[[#This Row],['#CardTypeNames:string'[']]], CardTypeName[Name:string], CardTypeName[Id:int])</f>
        <v>5</v>
      </c>
      <c r="E19" t="s">
        <v>186</v>
      </c>
      <c r="F19" t="s">
        <v>34</v>
      </c>
      <c r="G19" t="s">
        <v>34</v>
      </c>
      <c r="H19" t="s">
        <v>120</v>
      </c>
      <c r="I19" t="s">
        <v>180</v>
      </c>
      <c r="J19">
        <v>0</v>
      </c>
      <c r="K19">
        <v>0</v>
      </c>
      <c r="L19">
        <v>1</v>
      </c>
      <c r="M19" s="5" t="str">
        <f>INDEX(CardCollection_MTG[Name.ShortName:string], MATCH(Card_FIN_G[[#This Row],[CollectionId: int]], CardCollection_MTG[Id:int], 0))</f>
        <v>FIN_G</v>
      </c>
      <c r="N19" t="s">
        <v>121</v>
      </c>
    </row>
    <row r="20" spans="1:14" x14ac:dyDescent="0.65">
      <c r="A20">
        <v>10186</v>
      </c>
      <c r="B20" t="s">
        <v>88</v>
      </c>
      <c r="C20" t="s">
        <v>41</v>
      </c>
      <c r="D20" s="5" t="str">
        <f>LookupAndJoin(Card_FIN_G[[#This Row],['#CardTypeNames:string'[']]], CardTypeName[Name:string], CardTypeName[Id:int])</f>
        <v>5</v>
      </c>
      <c r="E20" t="s">
        <v>186</v>
      </c>
      <c r="F20" t="s">
        <v>34</v>
      </c>
      <c r="G20" t="s">
        <v>34</v>
      </c>
      <c r="H20" t="s">
        <v>122</v>
      </c>
      <c r="I20" t="s">
        <v>180</v>
      </c>
      <c r="J20">
        <v>0</v>
      </c>
      <c r="K20">
        <v>0</v>
      </c>
      <c r="L20">
        <v>1</v>
      </c>
      <c r="M20" s="5" t="str">
        <f>INDEX(CardCollection_MTG[Name.ShortName:string], MATCH(Card_FIN_G[[#This Row],[CollectionId: int]], CardCollection_MTG[Id:int], 0))</f>
        <v>FIN_G</v>
      </c>
      <c r="N20" t="s">
        <v>123</v>
      </c>
    </row>
    <row r="21" spans="1:14" x14ac:dyDescent="0.65">
      <c r="A21">
        <v>10187</v>
      </c>
      <c r="B21" t="s">
        <v>88</v>
      </c>
      <c r="C21" t="s">
        <v>41</v>
      </c>
      <c r="D21" s="5" t="str">
        <f>LookupAndJoin(Card_FIN_G[[#This Row],['#CardTypeNames:string'[']]], CardTypeName[Name:string], CardTypeName[Id:int])</f>
        <v>5</v>
      </c>
      <c r="E21" t="s">
        <v>186</v>
      </c>
      <c r="F21" t="s">
        <v>34</v>
      </c>
      <c r="G21" t="s">
        <v>34</v>
      </c>
      <c r="H21" t="s">
        <v>124</v>
      </c>
      <c r="I21" t="s">
        <v>180</v>
      </c>
      <c r="J21">
        <v>0</v>
      </c>
      <c r="K21">
        <v>0</v>
      </c>
      <c r="L21">
        <v>1</v>
      </c>
      <c r="M21" s="5" t="str">
        <f>INDEX(CardCollection_MTG[Name.ShortName:string], MATCH(Card_FIN_G[[#This Row],[CollectionId: int]], CardCollection_MTG[Id:int], 0))</f>
        <v>FIN_G</v>
      </c>
      <c r="N21" t="s">
        <v>125</v>
      </c>
    </row>
    <row r="22" spans="1:14" x14ac:dyDescent="0.65">
      <c r="A22">
        <v>10188</v>
      </c>
      <c r="B22" t="s">
        <v>88</v>
      </c>
      <c r="C22" t="s">
        <v>41</v>
      </c>
      <c r="D22" s="5" t="str">
        <f>LookupAndJoin(Card_FIN_G[[#This Row],['#CardTypeNames:string'[']]], CardTypeName[Name:string], CardTypeName[Id:int])</f>
        <v>5</v>
      </c>
      <c r="E22" t="s">
        <v>186</v>
      </c>
      <c r="F22" t="s">
        <v>34</v>
      </c>
      <c r="G22" t="s">
        <v>34</v>
      </c>
      <c r="H22" t="s">
        <v>126</v>
      </c>
      <c r="I22" t="s">
        <v>180</v>
      </c>
      <c r="J22">
        <v>0</v>
      </c>
      <c r="K22">
        <v>0</v>
      </c>
      <c r="L22">
        <v>1</v>
      </c>
      <c r="M22" s="5" t="str">
        <f>INDEX(CardCollection_MTG[Name.ShortName:string], MATCH(Card_FIN_G[[#This Row],[CollectionId: int]], CardCollection_MTG[Id:int], 0))</f>
        <v>FIN_G</v>
      </c>
      <c r="N22" t="s">
        <v>127</v>
      </c>
    </row>
    <row r="23" spans="1:14" x14ac:dyDescent="0.65">
      <c r="A23">
        <v>10189</v>
      </c>
      <c r="B23" t="s">
        <v>88</v>
      </c>
      <c r="C23" t="s">
        <v>41</v>
      </c>
      <c r="D23" s="5" t="str">
        <f>LookupAndJoin(Card_FIN_G[[#This Row],['#CardTypeNames:string'[']]], CardTypeName[Name:string], CardTypeName[Id:int])</f>
        <v>5</v>
      </c>
      <c r="E23" t="s">
        <v>186</v>
      </c>
      <c r="F23" t="s">
        <v>34</v>
      </c>
      <c r="G23" t="s">
        <v>34</v>
      </c>
      <c r="H23" t="s">
        <v>128</v>
      </c>
      <c r="I23" t="s">
        <v>180</v>
      </c>
      <c r="J23">
        <v>0</v>
      </c>
      <c r="K23">
        <v>0</v>
      </c>
      <c r="L23">
        <v>1</v>
      </c>
      <c r="M23" s="5" t="str">
        <f>INDEX(CardCollection_MTG[Name.ShortName:string], MATCH(Card_FIN_G[[#This Row],[CollectionId: int]], CardCollection_MTG[Id:int], 0))</f>
        <v>FIN_G</v>
      </c>
      <c r="N23" t="s">
        <v>129</v>
      </c>
    </row>
    <row r="24" spans="1:14" x14ac:dyDescent="0.65">
      <c r="A24">
        <v>10190</v>
      </c>
      <c r="B24" t="s">
        <v>88</v>
      </c>
      <c r="C24" t="s">
        <v>41</v>
      </c>
      <c r="D24" s="5" t="str">
        <f>LookupAndJoin(Card_FIN_G[[#This Row],['#CardTypeNames:string'[']]], CardTypeName[Name:string], CardTypeName[Id:int])</f>
        <v>5</v>
      </c>
      <c r="E24" t="s">
        <v>186</v>
      </c>
      <c r="F24" t="s">
        <v>34</v>
      </c>
      <c r="G24" t="s">
        <v>34</v>
      </c>
      <c r="H24" t="s">
        <v>130</v>
      </c>
      <c r="I24" t="s">
        <v>180</v>
      </c>
      <c r="J24">
        <v>0</v>
      </c>
      <c r="K24">
        <v>0</v>
      </c>
      <c r="L24">
        <v>1</v>
      </c>
      <c r="M24" s="5" t="str">
        <f>INDEX(CardCollection_MTG[Name.ShortName:string], MATCH(Card_FIN_G[[#This Row],[CollectionId: int]], CardCollection_MTG[Id:int], 0))</f>
        <v>FIN_G</v>
      </c>
      <c r="N24" t="s">
        <v>131</v>
      </c>
    </row>
    <row r="25" spans="1:14" x14ac:dyDescent="0.65">
      <c r="A25">
        <v>10191</v>
      </c>
      <c r="B25" t="s">
        <v>88</v>
      </c>
      <c r="C25" t="s">
        <v>41</v>
      </c>
      <c r="D25" s="5" t="str">
        <f>LookupAndJoin(Card_FIN_G[[#This Row],['#CardTypeNames:string'[']]], CardTypeName[Name:string], CardTypeName[Id:int])</f>
        <v>5</v>
      </c>
      <c r="E25" t="s">
        <v>186</v>
      </c>
      <c r="F25" t="s">
        <v>34</v>
      </c>
      <c r="G25" t="s">
        <v>34</v>
      </c>
      <c r="H25" t="s">
        <v>132</v>
      </c>
      <c r="I25" t="s">
        <v>180</v>
      </c>
      <c r="J25">
        <v>0</v>
      </c>
      <c r="K25">
        <v>0</v>
      </c>
      <c r="L25">
        <v>1</v>
      </c>
      <c r="M25" s="5" t="str">
        <f>INDEX(CardCollection_MTG[Name.ShortName:string], MATCH(Card_FIN_G[[#This Row],[CollectionId: int]], CardCollection_MTG[Id:int], 0))</f>
        <v>FIN_G</v>
      </c>
      <c r="N25" t="s">
        <v>133</v>
      </c>
    </row>
    <row r="26" spans="1:14" x14ac:dyDescent="0.65">
      <c r="A26">
        <v>10192</v>
      </c>
      <c r="B26" t="s">
        <v>88</v>
      </c>
      <c r="C26" t="s">
        <v>41</v>
      </c>
      <c r="D26" s="5" t="str">
        <f>LookupAndJoin(Card_FIN_G[[#This Row],['#CardTypeNames:string'[']]], CardTypeName[Name:string], CardTypeName[Id:int])</f>
        <v>5</v>
      </c>
      <c r="E26" t="s">
        <v>186</v>
      </c>
      <c r="F26" t="s">
        <v>34</v>
      </c>
      <c r="G26" t="s">
        <v>34</v>
      </c>
      <c r="H26" t="s">
        <v>134</v>
      </c>
      <c r="I26" t="s">
        <v>180</v>
      </c>
      <c r="J26">
        <v>0</v>
      </c>
      <c r="K26">
        <v>0</v>
      </c>
      <c r="L26">
        <v>1</v>
      </c>
      <c r="M26" s="5" t="str">
        <f>INDEX(CardCollection_MTG[Name.ShortName:string], MATCH(Card_FIN_G[[#This Row],[CollectionId: int]], CardCollection_MTG[Id:int], 0))</f>
        <v>FIN_G</v>
      </c>
      <c r="N26" t="s">
        <v>135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F154-2FCF-4169-A625-75C90C368C7C}">
  <sheetPr codeName="Sheet8"/>
  <dimension ref="A1:J35"/>
  <sheetViews>
    <sheetView tabSelected="1" workbookViewId="0">
      <selection activeCell="A33" sqref="A33"/>
    </sheetView>
  </sheetViews>
  <sheetFormatPr defaultRowHeight="18.45" x14ac:dyDescent="0.65"/>
  <cols>
    <col min="2" max="2" width="55" bestFit="1" customWidth="1"/>
    <col min="3" max="3" width="26.2109375" bestFit="1" customWidth="1"/>
    <col min="4" max="4" width="25.85546875" bestFit="1" customWidth="1"/>
    <col min="5" max="5" width="29.140625" bestFit="1" customWidth="1"/>
    <col min="6" max="6" width="27.7109375" bestFit="1" customWidth="1"/>
    <col min="7" max="7" width="26.2109375" bestFit="1" customWidth="1"/>
    <col min="8" max="8" width="31.140625" bestFit="1" customWidth="1"/>
    <col min="9" max="9" width="48" bestFit="1" customWidth="1"/>
    <col min="10" max="10" width="94.28515625" bestFit="1" customWidth="1"/>
  </cols>
  <sheetData>
    <row r="1" spans="1:10" x14ac:dyDescent="0.65">
      <c r="A1" t="s">
        <v>35</v>
      </c>
      <c r="B1" t="s">
        <v>99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156</v>
      </c>
    </row>
    <row r="4" spans="1:10" x14ac:dyDescent="0.65">
      <c r="A4" t="s">
        <v>2</v>
      </c>
      <c r="B4" t="s">
        <v>36</v>
      </c>
      <c r="C4" t="s">
        <v>80</v>
      </c>
      <c r="D4" s="6" t="s">
        <v>81</v>
      </c>
      <c r="E4" t="s">
        <v>101</v>
      </c>
      <c r="F4" s="6" t="s">
        <v>58</v>
      </c>
      <c r="G4" t="s">
        <v>51</v>
      </c>
      <c r="H4" t="s">
        <v>52</v>
      </c>
      <c r="I4" t="s">
        <v>47</v>
      </c>
      <c r="J4" t="s">
        <v>152</v>
      </c>
    </row>
    <row r="5" spans="1:10" x14ac:dyDescent="0.65">
      <c r="A5">
        <v>1017101</v>
      </c>
      <c r="B5" t="s">
        <v>162</v>
      </c>
      <c r="C5" t="s">
        <v>40</v>
      </c>
      <c r="D5" s="5">
        <f>INDEX(AbilityTypeName[Id:int], MATCH(Card_FIN_G_Abilities[[#This Row],['#AbilityTypeName:string]], AbilityTypeName[Name:string], 0))</f>
        <v>2</v>
      </c>
      <c r="E5" t="s">
        <v>65</v>
      </c>
      <c r="F5" s="5" t="str">
        <f>LookupAndJoin(Card_FIN_G_Abilities[[#This Row],['#TriggerEventsName:string'[']]], TriggerEventName[Name:string], TriggerEventName[Id:int])</f>
        <v>2</v>
      </c>
      <c r="G5" s="8" t="s">
        <v>97</v>
      </c>
      <c r="H5" t="s">
        <v>180</v>
      </c>
      <c r="I5" t="s">
        <v>159</v>
      </c>
      <c r="J5" s="8" t="s">
        <v>174</v>
      </c>
    </row>
    <row r="6" spans="1:10" x14ac:dyDescent="0.65">
      <c r="A6">
        <v>1017102</v>
      </c>
      <c r="B6" t="s">
        <v>163</v>
      </c>
      <c r="C6" t="s">
        <v>41</v>
      </c>
      <c r="D6" s="5">
        <f>INDEX(AbilityTypeName[Id:int], MATCH(Card_FIN_G_Abilities[[#This Row],['#AbilityTypeName:string]], AbilityTypeName[Name:string], 0))</f>
        <v>3</v>
      </c>
      <c r="E6" t="s">
        <v>34</v>
      </c>
      <c r="F6" s="5" t="str">
        <f>LookupAndJoin(Card_FIN_G_Abilities[[#This Row],['#TriggerEventsName:string'[']]], TriggerEventName[Name:string], TriggerEventName[Id:int])</f>
        <v>1</v>
      </c>
      <c r="G6" s="8">
        <v>2</v>
      </c>
      <c r="H6" t="s">
        <v>207</v>
      </c>
      <c r="I6" t="s">
        <v>172</v>
      </c>
      <c r="J6" s="8" t="s">
        <v>208</v>
      </c>
    </row>
    <row r="7" spans="1:10" x14ac:dyDescent="0.65">
      <c r="A7">
        <v>1017103</v>
      </c>
      <c r="B7" t="s">
        <v>207</v>
      </c>
      <c r="C7" t="s">
        <v>40</v>
      </c>
      <c r="D7" s="5">
        <f>INDEX(AbilityTypeName[Id:int], MATCH(Card_FIN_G_Abilities[[#This Row],['#AbilityTypeName:string]], AbilityTypeName[Name:string], 0))</f>
        <v>2</v>
      </c>
      <c r="E7" t="s">
        <v>204</v>
      </c>
      <c r="F7" s="5" t="str">
        <f>LookupAndJoin(Card_FIN_G_Abilities[[#This Row],['#TriggerEventsName:string'[']]], TriggerEventName[Name:string], TriggerEventName[Id:int])</f>
        <v>14</v>
      </c>
      <c r="G7" s="8">
        <v>0</v>
      </c>
      <c r="H7" t="s">
        <v>180</v>
      </c>
      <c r="I7" t="s">
        <v>206</v>
      </c>
      <c r="J7" s="8" t="s">
        <v>210</v>
      </c>
    </row>
    <row r="8" spans="1:10" x14ac:dyDescent="0.65">
      <c r="A8">
        <v>1017201</v>
      </c>
      <c r="B8" t="s">
        <v>165</v>
      </c>
      <c r="C8" t="s">
        <v>40</v>
      </c>
      <c r="D8" s="5">
        <f>INDEX(AbilityTypeName[Id:int], MATCH(Card_FIN_G_Abilities[[#This Row],['#AbilityTypeName:string]], AbilityTypeName[Name:string], 0))</f>
        <v>2</v>
      </c>
      <c r="E8" t="s">
        <v>142</v>
      </c>
      <c r="F8" s="5" t="str">
        <f>LookupAndJoin(Card_FIN_G_Abilities[[#This Row],['#TriggerEventsName:string'[']]], TriggerEventName[Name:string], TriggerEventName[Id:int])</f>
        <v>12</v>
      </c>
      <c r="G8" s="8">
        <v>0</v>
      </c>
      <c r="H8" t="s">
        <v>180</v>
      </c>
      <c r="I8" t="s">
        <v>160</v>
      </c>
      <c r="J8" s="8" t="s">
        <v>209</v>
      </c>
    </row>
    <row r="9" spans="1:10" x14ac:dyDescent="0.65">
      <c r="A9">
        <v>1017202</v>
      </c>
      <c r="B9" t="s">
        <v>166</v>
      </c>
      <c r="C9" t="s">
        <v>39</v>
      </c>
      <c r="D9" s="5">
        <f>INDEX(AbilityTypeName[Id:int], MATCH(Card_FIN_G_Abilities[[#This Row],['#AbilityTypeName:string]], AbilityTypeName[Name:string], 0))</f>
        <v>1</v>
      </c>
      <c r="E9" t="s">
        <v>34</v>
      </c>
      <c r="F9" s="5" t="str">
        <f>LookupAndJoin(Card_FIN_G_Abilities[[#This Row],['#TriggerEventsName:string'[']]], TriggerEventName[Name:string], TriggerEventName[Id:int])</f>
        <v>1</v>
      </c>
      <c r="G9" s="8">
        <v>0</v>
      </c>
      <c r="H9" t="s">
        <v>180</v>
      </c>
      <c r="I9" t="s">
        <v>140</v>
      </c>
      <c r="J9" s="8" t="s">
        <v>154</v>
      </c>
    </row>
    <row r="10" spans="1:10" x14ac:dyDescent="0.65">
      <c r="A10">
        <v>1017203</v>
      </c>
      <c r="B10" t="s">
        <v>167</v>
      </c>
      <c r="C10" t="s">
        <v>40</v>
      </c>
      <c r="D10" s="5">
        <f>INDEX(AbilityTypeName[Id:int], MATCH(Card_FIN_G_Abilities[[#This Row],['#AbilityTypeName:string]], AbilityTypeName[Name:string], 0))</f>
        <v>2</v>
      </c>
      <c r="E10" t="s">
        <v>144</v>
      </c>
      <c r="F10" s="5" t="str">
        <f>LookupAndJoin(Card_FIN_G_Abilities[[#This Row],['#TriggerEventsName:string'[']]], TriggerEventName[Name:string], TriggerEventName[Id:int])</f>
        <v>13</v>
      </c>
      <c r="G10" s="8">
        <v>0</v>
      </c>
      <c r="H10" t="s">
        <v>180</v>
      </c>
      <c r="I10" t="s">
        <v>141</v>
      </c>
      <c r="J10" s="8" t="s">
        <v>154</v>
      </c>
    </row>
    <row r="11" spans="1:10" x14ac:dyDescent="0.65">
      <c r="A11">
        <v>1017204</v>
      </c>
      <c r="B11" t="s">
        <v>164</v>
      </c>
      <c r="C11" t="s">
        <v>40</v>
      </c>
      <c r="D11" s="5">
        <f>INDEX(AbilityTypeName[Id:int], MATCH(Card_FIN_G_Abilities[[#This Row],['#AbilityTypeName:string]], AbilityTypeName[Name:string], 0))</f>
        <v>2</v>
      </c>
      <c r="E11" t="s">
        <v>146</v>
      </c>
      <c r="F11" s="5" t="str">
        <f>LookupAndJoin(Card_FIN_G_Abilities[[#This Row],['#TriggerEventsName:string'[']]], TriggerEventName[Name:string], TriggerEventName[Id:int])</f>
        <v>9</v>
      </c>
      <c r="G11" s="8">
        <v>0</v>
      </c>
      <c r="H11" t="s">
        <v>180</v>
      </c>
      <c r="I11" t="s">
        <v>183</v>
      </c>
      <c r="J11" s="8" t="s">
        <v>189</v>
      </c>
    </row>
    <row r="12" spans="1:10" x14ac:dyDescent="0.65">
      <c r="A12">
        <v>1017205</v>
      </c>
      <c r="B12" t="s">
        <v>181</v>
      </c>
      <c r="C12" t="s">
        <v>41</v>
      </c>
      <c r="D12" s="5">
        <f>INDEX(AbilityTypeName[Id:int], MATCH(Card_FIN_G_Abilities[[#This Row],['#AbilityTypeName:string]], AbilityTypeName[Name:string], 0))</f>
        <v>3</v>
      </c>
      <c r="E12" t="s">
        <v>34</v>
      </c>
      <c r="F12" s="5" t="str">
        <f>LookupAndJoin(Card_FIN_G_Abilities[[#This Row],['#TriggerEventsName:string'[']]], TriggerEventName[Name:string], TriggerEventName[Id:int])</f>
        <v>1</v>
      </c>
      <c r="G12" s="8" t="s">
        <v>182</v>
      </c>
      <c r="H12" t="s">
        <v>180</v>
      </c>
      <c r="I12" t="s">
        <v>187</v>
      </c>
      <c r="J12" s="8" t="s">
        <v>188</v>
      </c>
    </row>
    <row r="13" spans="1:10" x14ac:dyDescent="0.65">
      <c r="A13">
        <v>1017301</v>
      </c>
      <c r="B13" t="s">
        <v>151</v>
      </c>
      <c r="C13" t="s">
        <v>40</v>
      </c>
      <c r="D13" s="5">
        <f>INDEX(AbilityTypeName[Id:int], MATCH(Card_FIN_G_Abilities[[#This Row],['#AbilityTypeName:string]], AbilityTypeName[Name:string], 0))</f>
        <v>2</v>
      </c>
      <c r="E13" t="s">
        <v>60</v>
      </c>
      <c r="F13" s="5" t="str">
        <f>LookupAndJoin(Card_FIN_G_Abilities[[#This Row],['#TriggerEventsName:string'[']]], TriggerEventName[Name:string], TriggerEventName[Id:int])</f>
        <v>3</v>
      </c>
      <c r="G13" s="8">
        <v>0</v>
      </c>
      <c r="H13" t="s">
        <v>180</v>
      </c>
      <c r="I13" t="s">
        <v>161</v>
      </c>
      <c r="J13" s="8">
        <v>3</v>
      </c>
    </row>
    <row r="14" spans="1:10" x14ac:dyDescent="0.65">
      <c r="A14">
        <v>1017302</v>
      </c>
      <c r="B14" t="s">
        <v>168</v>
      </c>
      <c r="C14" t="s">
        <v>41</v>
      </c>
      <c r="D14" s="5">
        <f>INDEX(AbilityTypeName[Id:int], MATCH(Card_FIN_G_Abilities[[#This Row],['#AbilityTypeName:string]], AbilityTypeName[Name:string], 0))</f>
        <v>3</v>
      </c>
      <c r="E14" t="s">
        <v>34</v>
      </c>
      <c r="F14" s="5" t="str">
        <f>LookupAndJoin(Card_FIN_G_Abilities[[#This Row],['#TriggerEventsName:string'[']]], TriggerEventName[Name:string], TriggerEventName[Id:int])</f>
        <v>1</v>
      </c>
      <c r="G14" s="8">
        <v>2</v>
      </c>
      <c r="H14" t="s">
        <v>207</v>
      </c>
      <c r="I14" t="s">
        <v>173</v>
      </c>
      <c r="J14" s="8" t="s">
        <v>195</v>
      </c>
    </row>
    <row r="15" spans="1:10" x14ac:dyDescent="0.65">
      <c r="A15">
        <v>1017401</v>
      </c>
      <c r="B15" t="s">
        <v>179</v>
      </c>
      <c r="C15" t="s">
        <v>40</v>
      </c>
      <c r="D15" s="5">
        <f>INDEX(AbilityTypeName[Id:int], MATCH(Card_FIN_G_Abilities[[#This Row],['#AbilityTypeName:string]], AbilityTypeName[Name:string], 0))</f>
        <v>2</v>
      </c>
      <c r="E15" t="s">
        <v>60</v>
      </c>
      <c r="F15" s="5" t="str">
        <f>LookupAndJoin(Card_FIN_G_Abilities[[#This Row],['#TriggerEventsName:string'[']]], TriggerEventName[Name:string], TriggerEventName[Id:int])</f>
        <v>3</v>
      </c>
      <c r="G15" s="8">
        <v>0</v>
      </c>
      <c r="H15" t="s">
        <v>180</v>
      </c>
      <c r="I15" t="s">
        <v>191</v>
      </c>
      <c r="J15" s="8" t="s">
        <v>190</v>
      </c>
    </row>
    <row r="16" spans="1:10" x14ac:dyDescent="0.65">
      <c r="A16">
        <v>1017402</v>
      </c>
      <c r="B16" t="s">
        <v>228</v>
      </c>
      <c r="C16" s="9" t="s">
        <v>40</v>
      </c>
      <c r="D16" s="5">
        <f>INDEX(AbilityTypeName[Id:int], MATCH(Card_FIN_G_Abilities[[#This Row],['#AbilityTypeName:string]], AbilityTypeName[Name:string], 0))</f>
        <v>2</v>
      </c>
      <c r="E16" s="9" t="s">
        <v>197</v>
      </c>
      <c r="F16" s="10" t="str">
        <f>LookupAndJoin(Card_FIN_G_Abilities[[#This Row],['#TriggerEventsName:string'[']]], TriggerEventName[Name:string], TriggerEventName[Id:int])</f>
        <v>16</v>
      </c>
      <c r="G16" s="8">
        <v>0</v>
      </c>
      <c r="H16" t="s">
        <v>180</v>
      </c>
      <c r="I16" t="s">
        <v>222</v>
      </c>
      <c r="J16" s="8" t="s">
        <v>229</v>
      </c>
    </row>
    <row r="17" spans="1:10" x14ac:dyDescent="0.65">
      <c r="A17">
        <v>1017403</v>
      </c>
      <c r="B17" t="s">
        <v>225</v>
      </c>
      <c r="C17" t="s">
        <v>39</v>
      </c>
      <c r="D17" s="5">
        <f>INDEX(AbilityTypeName[Id:int], MATCH(Card_FIN_G_Abilities[[#This Row],['#AbilityTypeName:string]], AbilityTypeName[Name:string], 0))</f>
        <v>1</v>
      </c>
      <c r="E17" t="s">
        <v>34</v>
      </c>
      <c r="F17" s="5" t="str">
        <f>LookupAndJoin(Card_FIN_G_Abilities[[#This Row],['#TriggerEventsName:string'[']]], TriggerEventName[Name:string], TriggerEventName[Id:int])</f>
        <v>1</v>
      </c>
      <c r="G17" s="8">
        <v>0</v>
      </c>
      <c r="H17" t="s">
        <v>180</v>
      </c>
      <c r="I17" t="s">
        <v>221</v>
      </c>
      <c r="J17" s="8" t="s">
        <v>193</v>
      </c>
    </row>
    <row r="18" spans="1:10" x14ac:dyDescent="0.65">
      <c r="A18">
        <v>1017404</v>
      </c>
      <c r="B18" t="s">
        <v>226</v>
      </c>
      <c r="C18" t="s">
        <v>39</v>
      </c>
      <c r="D18" s="5">
        <f>INDEX(AbilityTypeName[Id:int], MATCH(Card_FIN_G_Abilities[[#This Row],['#AbilityTypeName:string]], AbilityTypeName[Name:string], 0))</f>
        <v>1</v>
      </c>
      <c r="E18" t="s">
        <v>34</v>
      </c>
      <c r="F18" s="5" t="str">
        <f>LookupAndJoin(Card_FIN_G_Abilities[[#This Row],['#TriggerEventsName:string'[']]], TriggerEventName[Name:string], TriggerEventName[Id:int])</f>
        <v>1</v>
      </c>
      <c r="G18" s="8">
        <v>0</v>
      </c>
      <c r="H18" t="s">
        <v>180</v>
      </c>
      <c r="I18" t="s">
        <v>222</v>
      </c>
      <c r="J18" s="8" t="s">
        <v>194</v>
      </c>
    </row>
    <row r="19" spans="1:10" x14ac:dyDescent="0.65">
      <c r="A19">
        <v>1017405</v>
      </c>
      <c r="B19" t="s">
        <v>227</v>
      </c>
      <c r="C19" t="s">
        <v>39</v>
      </c>
      <c r="D19" s="5">
        <f>INDEX(AbilityTypeName[Id:int], MATCH(Card_FIN_G_Abilities[[#This Row],['#AbilityTypeName:string]], AbilityTypeName[Name:string], 0))</f>
        <v>1</v>
      </c>
      <c r="E19" t="s">
        <v>34</v>
      </c>
      <c r="F19" s="5" t="str">
        <f>LookupAndJoin(Card_FIN_G_Abilities[[#This Row],['#TriggerEventsName:string'[']]], TriggerEventName[Name:string], TriggerEventName[Id:int])</f>
        <v>1</v>
      </c>
      <c r="G19" s="8">
        <v>0</v>
      </c>
      <c r="H19" t="s">
        <v>180</v>
      </c>
      <c r="I19" t="s">
        <v>223</v>
      </c>
      <c r="J19" s="8" t="s">
        <v>196</v>
      </c>
    </row>
    <row r="20" spans="1:10" x14ac:dyDescent="0.65">
      <c r="A20">
        <v>1017406</v>
      </c>
      <c r="B20" t="s">
        <v>230</v>
      </c>
      <c r="C20" s="9" t="s">
        <v>40</v>
      </c>
      <c r="D20" s="5">
        <f>INDEX(AbilityTypeName[Id:int], MATCH(Card_FIN_G_Abilities[[#This Row],['#AbilityTypeName:string]], AbilityTypeName[Name:string], 0))</f>
        <v>2</v>
      </c>
      <c r="E20" s="9" t="s">
        <v>219</v>
      </c>
      <c r="F20" s="10" t="str">
        <f>LookupAndJoin(Card_FIN_G_Abilities[[#This Row],['#TriggerEventsName:string'[']]], TriggerEventName[Name:string], TriggerEventName[Id:int])</f>
        <v>17</v>
      </c>
      <c r="G20" s="8">
        <v>0</v>
      </c>
      <c r="H20" t="s">
        <v>180</v>
      </c>
      <c r="I20" t="s">
        <v>231</v>
      </c>
      <c r="J20" s="8" t="s">
        <v>154</v>
      </c>
    </row>
    <row r="21" spans="1:10" x14ac:dyDescent="0.65">
      <c r="A21">
        <v>1017406</v>
      </c>
      <c r="B21" t="s">
        <v>192</v>
      </c>
      <c r="C21" t="s">
        <v>42</v>
      </c>
      <c r="D21" s="5">
        <f>INDEX(AbilityTypeName[Id:int], MATCH(Card_FIN_G_Abilities[[#This Row],['#AbilityTypeName:string]], AbilityTypeName[Name:string], 0))</f>
        <v>4</v>
      </c>
      <c r="E21" t="s">
        <v>34</v>
      </c>
      <c r="F21" s="5" t="str">
        <f>LookupAndJoin(Card_FIN_G_Abilities[[#This Row],['#TriggerEventsName:string'[']]], TriggerEventName[Name:string], TriggerEventName[Id:int])</f>
        <v>1</v>
      </c>
      <c r="G21" s="8">
        <v>6</v>
      </c>
      <c r="H21" t="s">
        <v>180</v>
      </c>
      <c r="I21" t="s">
        <v>197</v>
      </c>
      <c r="J21" s="8" t="s">
        <v>198</v>
      </c>
    </row>
    <row r="22" spans="1:10" x14ac:dyDescent="0.65">
      <c r="A22">
        <v>1017501</v>
      </c>
      <c r="B22" t="s">
        <v>205</v>
      </c>
      <c r="C22" t="s">
        <v>40</v>
      </c>
      <c r="D22" s="5">
        <f>INDEX(AbilityTypeName[Id:int], MATCH(Card_FIN_G_Abilities[[#This Row],['#AbilityTypeName:string]], AbilityTypeName[Name:string], 0))</f>
        <v>2</v>
      </c>
      <c r="E22" t="s">
        <v>204</v>
      </c>
      <c r="F22" s="5" t="str">
        <f>LookupAndJoin(Card_FIN_G_Abilities[[#This Row],['#TriggerEventsName:string'[']]], TriggerEventName[Name:string], TriggerEventName[Id:int])</f>
        <v>14</v>
      </c>
      <c r="G22" s="8">
        <v>0</v>
      </c>
      <c r="H22" t="s">
        <v>180</v>
      </c>
      <c r="I22" t="s">
        <v>211</v>
      </c>
      <c r="J22" s="8" t="s">
        <v>212</v>
      </c>
    </row>
    <row r="23" spans="1:10" x14ac:dyDescent="0.65">
      <c r="A23">
        <v>1017502</v>
      </c>
      <c r="B23" t="s">
        <v>213</v>
      </c>
      <c r="C23" t="s">
        <v>40</v>
      </c>
      <c r="D23" s="5">
        <f>INDEX(AbilityTypeName[Id:int], MATCH(Card_FIN_G_Abilities[[#This Row],['#AbilityTypeName:string]], AbilityTypeName[Name:string], 0))</f>
        <v>2</v>
      </c>
      <c r="E23" t="s">
        <v>60</v>
      </c>
      <c r="F23" s="5" t="str">
        <f>LookupAndJoin(Card_FIN_G_Abilities[[#This Row],['#TriggerEventsName:string'[']]], TriggerEventName[Name:string], TriggerEventName[Id:int])</f>
        <v>3</v>
      </c>
      <c r="G23" s="8">
        <v>0</v>
      </c>
      <c r="H23" t="s">
        <v>180</v>
      </c>
      <c r="I23" t="s">
        <v>214</v>
      </c>
      <c r="J23" s="8" t="s">
        <v>215</v>
      </c>
    </row>
    <row r="24" spans="1:10" x14ac:dyDescent="0.65">
      <c r="A24">
        <v>1017601</v>
      </c>
      <c r="B24" t="s">
        <v>237</v>
      </c>
      <c r="C24" t="s">
        <v>40</v>
      </c>
      <c r="D24" s="5">
        <f>INDEX(AbilityTypeName[Id:int], MATCH(Card_FIN_G_Abilities[[#This Row],['#AbilityTypeName:string]], AbilityTypeName[Name:string], 0))</f>
        <v>2</v>
      </c>
      <c r="E24" t="s">
        <v>65</v>
      </c>
      <c r="F24" s="5" t="str">
        <f>LookupAndJoin(Card_FIN_G_Abilities[[#This Row],['#TriggerEventsName:string'[']]], TriggerEventName[Name:string], TriggerEventName[Id:int])</f>
        <v>2</v>
      </c>
      <c r="G24" s="8">
        <v>0</v>
      </c>
      <c r="H24" t="s">
        <v>180</v>
      </c>
      <c r="I24" t="s">
        <v>222</v>
      </c>
      <c r="J24" s="8" t="s">
        <v>240</v>
      </c>
    </row>
    <row r="25" spans="1:10" x14ac:dyDescent="0.65">
      <c r="A25">
        <v>1017602</v>
      </c>
      <c r="B25" t="s">
        <v>239</v>
      </c>
      <c r="C25" t="s">
        <v>39</v>
      </c>
      <c r="D25" s="5">
        <f>INDEX(AbilityTypeName[Id:int], MATCH(Card_FIN_G_Abilities[[#This Row],['#AbilityTypeName:string]], AbilityTypeName[Name:string], 0))</f>
        <v>1</v>
      </c>
      <c r="E25" t="s">
        <v>34</v>
      </c>
      <c r="F25" s="5" t="str">
        <f>LookupAndJoin(Card_FIN_G_Abilities[[#This Row],['#TriggerEventsName:string'[']]], TriggerEventName[Name:string], TriggerEventName[Id:int])</f>
        <v>1</v>
      </c>
      <c r="G25" s="8">
        <v>0</v>
      </c>
      <c r="H25" t="s">
        <v>180</v>
      </c>
      <c r="I25" t="s">
        <v>221</v>
      </c>
      <c r="J25" s="8" t="s">
        <v>236</v>
      </c>
    </row>
    <row r="26" spans="1:10" x14ac:dyDescent="0.65">
      <c r="A26">
        <v>1017603</v>
      </c>
      <c r="B26" t="s">
        <v>238</v>
      </c>
      <c r="C26" t="s">
        <v>39</v>
      </c>
      <c r="D26" s="5">
        <f>INDEX(AbilityTypeName[Id:int], MATCH(Card_FIN_G_Abilities[[#This Row],['#AbilityTypeName:string]], AbilityTypeName[Name:string], 0))</f>
        <v>1</v>
      </c>
      <c r="E26" t="s">
        <v>34</v>
      </c>
      <c r="F26" s="5" t="str">
        <f>LookupAndJoin(Card_FIN_G_Abilities[[#This Row],['#TriggerEventsName:string'[']]], TriggerEventName[Name:string], TriggerEventName[Id:int])</f>
        <v>1</v>
      </c>
      <c r="G26" s="8">
        <v>0</v>
      </c>
      <c r="H26" t="s">
        <v>180</v>
      </c>
      <c r="I26" t="s">
        <v>222</v>
      </c>
      <c r="J26" s="8" t="s">
        <v>194</v>
      </c>
    </row>
    <row r="27" spans="1:10" x14ac:dyDescent="0.65">
      <c r="A27">
        <v>1017604</v>
      </c>
      <c r="B27" t="s">
        <v>241</v>
      </c>
      <c r="C27" t="s">
        <v>40</v>
      </c>
      <c r="D27" s="5">
        <f>INDEX(AbilityTypeName[Id:int], MATCH(Card_FIN_G_Abilities[[#This Row],['#AbilityTypeName:string]], AbilityTypeName[Name:string], 0))</f>
        <v>2</v>
      </c>
      <c r="E27" t="s">
        <v>232</v>
      </c>
      <c r="F27" s="5" t="str">
        <f>LookupAndJoin(Card_FIN_G_Abilities[[#This Row],['#TriggerEventsName:string'[']]], TriggerEventName[Name:string], TriggerEventName[Id:int])</f>
        <v>5</v>
      </c>
      <c r="G27" s="8">
        <v>0</v>
      </c>
      <c r="H27" t="s">
        <v>180</v>
      </c>
      <c r="I27" t="s">
        <v>231</v>
      </c>
      <c r="J27" s="8" t="s">
        <v>154</v>
      </c>
    </row>
    <row r="28" spans="1:10" x14ac:dyDescent="0.65">
      <c r="A28">
        <v>1017701</v>
      </c>
      <c r="B28" t="s">
        <v>246</v>
      </c>
      <c r="C28" t="s">
        <v>40</v>
      </c>
      <c r="D28" s="5">
        <f>INDEX(AbilityTypeName[Id:int], MATCH(Card_FIN_G_Abilities[[#This Row],['#AbilityTypeName:string]], AbilityTypeName[Name:string], 0))</f>
        <v>2</v>
      </c>
      <c r="E28" t="s">
        <v>244</v>
      </c>
      <c r="F28" s="5" t="str">
        <f>LookupAndJoin(Card_FIN_G_Abilities[[#This Row],['#TriggerEventsName:string'[']]], TriggerEventName[Name:string], TriggerEventName[Id:int])</f>
        <v>4</v>
      </c>
      <c r="G28" s="8">
        <v>0</v>
      </c>
      <c r="H28" t="s">
        <v>180</v>
      </c>
      <c r="I28" t="s">
        <v>247</v>
      </c>
      <c r="J28" s="8" t="s">
        <v>154</v>
      </c>
    </row>
    <row r="29" spans="1:10" x14ac:dyDescent="0.65">
      <c r="A29">
        <v>1017801</v>
      </c>
      <c r="B29" t="s">
        <v>251</v>
      </c>
      <c r="C29" t="s">
        <v>40</v>
      </c>
      <c r="D29" s="5">
        <f>INDEX(AbilityTypeName[Id:int], MATCH(Card_FIN_G_Abilities[[#This Row],['#AbilityTypeName:string]], AbilityTypeName[Name:string], 0))</f>
        <v>2</v>
      </c>
      <c r="E29" t="s">
        <v>249</v>
      </c>
      <c r="F29" s="5" t="str">
        <f>LookupAndJoin(Card_FIN_G_Abilities[[#This Row],['#TriggerEventsName:string'[']]], TriggerEventName[Name:string], TriggerEventName[Id:int])</f>
        <v>15</v>
      </c>
      <c r="G29" s="8">
        <v>0</v>
      </c>
      <c r="H29" t="s">
        <v>252</v>
      </c>
      <c r="I29" t="s">
        <v>255</v>
      </c>
      <c r="J29" s="8" t="s">
        <v>154</v>
      </c>
    </row>
    <row r="30" spans="1:10" x14ac:dyDescent="0.65">
      <c r="A30">
        <v>1017802</v>
      </c>
      <c r="B30" t="s">
        <v>253</v>
      </c>
      <c r="C30" s="9" t="s">
        <v>40</v>
      </c>
      <c r="D30" s="5">
        <f>INDEX(AbilityTypeName[Id:int], MATCH(Card_FIN_G_Abilities[[#This Row],['#AbilityTypeName:string]], AbilityTypeName[Name:string], 0))</f>
        <v>2</v>
      </c>
      <c r="E30" s="9" t="s">
        <v>65</v>
      </c>
      <c r="F30" s="10" t="str">
        <f>LookupAndJoin(Card_FIN_G_Abilities[[#This Row],['#TriggerEventsName:string'[']]], TriggerEventName[Name:string], TriggerEventName[Id:int])</f>
        <v>2</v>
      </c>
      <c r="G30" s="8">
        <v>0</v>
      </c>
      <c r="H30" t="s">
        <v>180</v>
      </c>
      <c r="I30" t="s">
        <v>254</v>
      </c>
      <c r="J30" s="8" t="s">
        <v>154</v>
      </c>
    </row>
    <row r="31" spans="1:10" x14ac:dyDescent="0.65">
      <c r="A31">
        <v>1017901</v>
      </c>
      <c r="B31" t="s">
        <v>262</v>
      </c>
      <c r="C31" s="9" t="s">
        <v>40</v>
      </c>
      <c r="D31" s="5">
        <f>INDEX(AbilityTypeName[Id:int], MATCH(Card_FIN_G_Abilities[[#This Row],['#AbilityTypeName:string]], AbilityTypeName[Name:string], 0))</f>
        <v>2</v>
      </c>
      <c r="E31" s="9" t="s">
        <v>66</v>
      </c>
      <c r="F31" s="10" t="str">
        <f>LookupAndJoin(Card_FIN_G_Abilities[[#This Row],['#TriggerEventsName:string'[']]], TriggerEventName[Name:string], TriggerEventName[Id:int])</f>
        <v>11</v>
      </c>
      <c r="G31" s="8">
        <v>0</v>
      </c>
      <c r="H31" t="s">
        <v>180</v>
      </c>
      <c r="I31" t="s">
        <v>257</v>
      </c>
      <c r="J31" s="8" t="s">
        <v>258</v>
      </c>
    </row>
    <row r="32" spans="1:10" x14ac:dyDescent="0.65">
      <c r="A32">
        <v>1017902</v>
      </c>
      <c r="B32" t="s">
        <v>259</v>
      </c>
      <c r="C32" s="9" t="s">
        <v>40</v>
      </c>
      <c r="D32" s="5">
        <f>INDEX(AbilityTypeName[Id:int], MATCH(Card_FIN_G_Abilities[[#This Row],['#AbilityTypeName:string]], AbilityTypeName[Name:string], 0))</f>
        <v>2</v>
      </c>
      <c r="E32" s="9" t="s">
        <v>66</v>
      </c>
      <c r="F32" s="10" t="str">
        <f>LookupAndJoin(Card_FIN_G_Abilities[[#This Row],['#TriggerEventsName:string'[']]], TriggerEventName[Name:string], TriggerEventName[Id:int])</f>
        <v>11</v>
      </c>
      <c r="G32" s="8">
        <v>0</v>
      </c>
      <c r="H32" t="s">
        <v>180</v>
      </c>
      <c r="I32" t="s">
        <v>260</v>
      </c>
      <c r="J32" s="8" t="s">
        <v>261</v>
      </c>
    </row>
    <row r="33" spans="3:10" x14ac:dyDescent="0.65">
      <c r="C33" s="9"/>
      <c r="D33" s="5" t="e">
        <f>INDEX(AbilityTypeName[Id:int], MATCH(Card_FIN_G_Abilities[[#This Row],['#AbilityTypeName:string]], AbilityTypeName[Name:string], 0))</f>
        <v>#N/A</v>
      </c>
      <c r="E33" s="9"/>
      <c r="F33" s="10" t="str">
        <f>LookupAndJoin(Card_FIN_G_Abilities[[#This Row],['#TriggerEventsName:string'[']]], TriggerEventName[Name:string], TriggerEventName[Id:int])</f>
        <v/>
      </c>
      <c r="G33" s="8"/>
      <c r="J33" s="8"/>
    </row>
    <row r="34" spans="3:10" x14ac:dyDescent="0.65">
      <c r="C34" s="9"/>
      <c r="D34" s="5" t="e">
        <f>INDEX(AbilityTypeName[Id:int], MATCH(Card_FIN_G_Abilities[[#This Row],['#AbilityTypeName:string]], AbilityTypeName[Name:string], 0))</f>
        <v>#N/A</v>
      </c>
      <c r="E34" s="9"/>
      <c r="F34" s="10" t="str">
        <f>LookupAndJoin(Card_FIN_G_Abilities[[#This Row],['#TriggerEventsName:string'[']]], TriggerEventName[Name:string], TriggerEventName[Id:int])</f>
        <v/>
      </c>
      <c r="G34" s="8"/>
      <c r="J34" s="8"/>
    </row>
    <row r="35" spans="3:10" x14ac:dyDescent="0.65">
      <c r="D35" s="5"/>
      <c r="F35" s="5"/>
      <c r="G35" s="8"/>
      <c r="J35" s="8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CardCollection_MTG</vt:lpstr>
      <vt:lpstr>Card_MTG</vt:lpstr>
      <vt:lpstr>Card_MTG_Abilities</vt:lpstr>
      <vt:lpstr>CardTypeName</vt:lpstr>
      <vt:lpstr>AbilityTypeName</vt:lpstr>
      <vt:lpstr>TriggerEventName</vt:lpstr>
      <vt:lpstr>Card_FIN_G</vt:lpstr>
      <vt:lpstr>Card_FIN_G_Abilities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俊一朗 池野</dc:creator>
  <cp:lastModifiedBy>俊一朗 池野</cp:lastModifiedBy>
  <dcterms:created xsi:type="dcterms:W3CDTF">2025-10-07T15:20:55Z</dcterms:created>
  <dcterms:modified xsi:type="dcterms:W3CDTF">2026-01-25T16:53:33Z</dcterms:modified>
</cp:coreProperties>
</file>