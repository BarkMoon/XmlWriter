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s\XmlWriter\"/>
    </mc:Choice>
  </mc:AlternateContent>
  <xr:revisionPtr revIDLastSave="0" documentId="13_ncr:1_{C19152A6-23AE-4D9B-B640-962E84367B1C}" xr6:coauthVersionLast="47" xr6:coauthVersionMax="47" xr10:uidLastSave="{00000000-0000-0000-0000-000000000000}"/>
  <bookViews>
    <workbookView xWindow="-38520" yWindow="-120" windowWidth="38640" windowHeight="21120" xr2:uid="{5D7DA2A5-53FF-43D1-8583-82CF21C04067}"/>
  </bookViews>
  <sheets>
    <sheet name="試合の流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G5" i="1"/>
  <c r="G6" i="1"/>
  <c r="I6" i="1"/>
  <c r="J6" i="1" s="1"/>
  <c r="I4" i="1"/>
  <c r="J4" i="1" s="1"/>
  <c r="G4" i="1"/>
</calcChain>
</file>

<file path=xl/sharedStrings.xml><?xml version="1.0" encoding="utf-8"?>
<sst xmlns="http://schemas.openxmlformats.org/spreadsheetml/2006/main" count="37" uniqueCount="36">
  <si>
    <t>色</t>
    <rPh sb="0" eb="1">
      <t>イロ</t>
    </rPh>
    <phoneticPr fontId="1"/>
  </si>
  <si>
    <t>決着時マナ</t>
    <rPh sb="0" eb="3">
      <t>ケッチャクジ</t>
    </rPh>
    <phoneticPr fontId="1"/>
  </si>
  <si>
    <t>決着時マナ合計</t>
    <rPh sb="0" eb="3">
      <t>ケッチャクジ</t>
    </rPh>
    <rPh sb="5" eb="7">
      <t>ゴウケイ</t>
    </rPh>
    <phoneticPr fontId="1"/>
  </si>
  <si>
    <t>想定勝利ターン数</t>
    <rPh sb="0" eb="2">
      <t>ソウテイ</t>
    </rPh>
    <rPh sb="2" eb="4">
      <t>ショウリ</t>
    </rPh>
    <rPh sb="7" eb="8">
      <t>スウ</t>
    </rPh>
    <phoneticPr fontId="1"/>
  </si>
  <si>
    <t>#マナ加速量</t>
    <rPh sb="3" eb="5">
      <t>カソク</t>
    </rPh>
    <rPh sb="5" eb="6">
      <t>リョウ</t>
    </rPh>
    <phoneticPr fontId="1"/>
  </si>
  <si>
    <t>#マナ加速量ターン平均</t>
    <rPh sb="3" eb="6">
      <t>カソクリョウ</t>
    </rPh>
    <rPh sb="9" eb="11">
      <t>ヘイキン</t>
    </rPh>
    <phoneticPr fontId="1"/>
  </si>
  <si>
    <t>ターン終了時マナ→</t>
    <rPh sb="3" eb="6">
      <t>シュウリョウジ</t>
    </rPh>
    <phoneticPr fontId="1"/>
  </si>
  <si>
    <t>緑</t>
    <rPh sb="0" eb="1">
      <t>ミドリ</t>
    </rPh>
    <phoneticPr fontId="1"/>
  </si>
  <si>
    <t>黒</t>
    <rPh sb="0" eb="1">
      <t>クロ</t>
    </rPh>
    <phoneticPr fontId="1"/>
  </si>
  <si>
    <t>マスの数</t>
    <rPh sb="3" eb="4">
      <t>カズ</t>
    </rPh>
    <phoneticPr fontId="1"/>
  </si>
  <si>
    <t>#1マスあたり決着時マナ</t>
    <rPh sb="7" eb="10">
      <t>ケッチャクジ</t>
    </rPh>
    <phoneticPr fontId="1"/>
  </si>
  <si>
    <t>1, 2, 3, 4, 5, 6</t>
    <phoneticPr fontId="1"/>
  </si>
  <si>
    <t>7, 7</t>
    <phoneticPr fontId="1"/>
  </si>
  <si>
    <t>理想形の強さ(目安)</t>
    <rPh sb="0" eb="2">
      <t>リソウ</t>
    </rPh>
    <rPh sb="2" eb="3">
      <t>ケイ</t>
    </rPh>
    <rPh sb="4" eb="5">
      <t>ツヨ</t>
    </rPh>
    <rPh sb="7" eb="9">
      <t>メヤス</t>
    </rPh>
    <phoneticPr fontId="1"/>
  </si>
  <si>
    <t>#目安強さ値の理由</t>
    <rPh sb="1" eb="3">
      <t>メヤス</t>
    </rPh>
    <rPh sb="3" eb="4">
      <t>ツヨ</t>
    </rPh>
    <rPh sb="5" eb="6">
      <t>チ</t>
    </rPh>
    <rPh sb="7" eb="9">
      <t>リユウ</t>
    </rPh>
    <phoneticPr fontId="1"/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</si>
  <si>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</si>
  <si>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</si>
  <si>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</si>
  <si>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</si>
  <si>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</si>
  <si>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</si>
  <si>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</si>
  <si>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</si>
  <si>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</si>
  <si>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</si>
  <si>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</si>
  <si>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</si>
  <si>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</si>
  <si>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基準値。6Mユニットは強力だが、出たら即決着というほどではない。</t>
    <rPh sb="0" eb="3">
      <t>キジュンチ</t>
    </rPh>
    <rPh sb="11" eb="13">
      <t>キョウリョク</t>
    </rPh>
    <rPh sb="16" eb="17">
      <t>デ</t>
    </rPh>
    <rPh sb="19" eb="20">
      <t>ソク</t>
    </rPh>
    <rPh sb="20" eb="22">
      <t>ケッチャク</t>
    </rPh>
    <phoneticPr fontId="1"/>
  </si>
  <si>
    <t>デッキタイプ</t>
    <phoneticPr fontId="1"/>
  </si>
  <si>
    <t>ランプ</t>
    <phoneticPr fontId="1"/>
  </si>
  <si>
    <t>アグロ</t>
    <phoneticPr fontId="1"/>
  </si>
  <si>
    <t>コントロール</t>
    <phoneticPr fontId="1"/>
  </si>
  <si>
    <t>序盤から継続的に削れていれば決着。少しの妨害で容易にキルターンが遅れる。</t>
    <rPh sb="0" eb="2">
      <t>ジョバン</t>
    </rPh>
    <rPh sb="4" eb="6">
      <t>ケイゾク</t>
    </rPh>
    <rPh sb="6" eb="7">
      <t>テキ</t>
    </rPh>
    <rPh sb="8" eb="9">
      <t>ケズ</t>
    </rPh>
    <rPh sb="14" eb="16">
      <t>ケッチャク</t>
    </rPh>
    <rPh sb="17" eb="18">
      <t>スコ</t>
    </rPh>
    <rPh sb="20" eb="22">
      <t>ボウガイ</t>
    </rPh>
    <rPh sb="23" eb="25">
      <t>ヨウイ</t>
    </rPh>
    <rPh sb="32" eb="33">
      <t>オク</t>
    </rPh>
    <phoneticPr fontId="1"/>
  </si>
  <si>
    <t>10, 10</t>
    <phoneticPr fontId="1"/>
  </si>
  <si>
    <t>妨害と手札回復を行ってアドバンテージを取りつつ、強力なフィニッシャーに繋げる。マナ加速は低速。</t>
    <rPh sb="0" eb="2">
      <t>ボウガイ</t>
    </rPh>
    <rPh sb="3" eb="5">
      <t>テフダ</t>
    </rPh>
    <rPh sb="5" eb="7">
      <t>カイフク</t>
    </rPh>
    <rPh sb="8" eb="9">
      <t>オコナ</t>
    </rPh>
    <rPh sb="19" eb="20">
      <t>ト</t>
    </rPh>
    <rPh sb="24" eb="26">
      <t>キョウリョク</t>
    </rPh>
    <rPh sb="35" eb="36">
      <t>ツナ</t>
    </rPh>
    <rPh sb="41" eb="43">
      <t>カソク</t>
    </rPh>
    <rPh sb="44" eb="46">
      <t>テイソク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</si>
</sst>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1"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6EDA3C-CA80-4356-A3BD-0C05F2206700}" name="テーブル1" displayName="テーブル1" ref="B3:Z6" totalsRowShown="0">
  <autoFilter ref="B3:Z6" xr:uid="{B06EDA3C-CA80-4356-A3BD-0C05F2206700}"/>
  <tableColumns count="25">
    <tableColumn id="1" xr3:uid="{3B396D90-49AF-410E-B661-9762AE7996A2}" name="色"/>
    <tableColumn id="25" xr3:uid="{E709E10A-F2EB-48FE-BCF2-6B337587B460}" name="デッキタイプ"/>
    <tableColumn id="2" xr3:uid="{C3210863-121F-4976-BED1-2C1C964C290B}" name="マスの数"/>
    <tableColumn id="3" xr3:uid="{129E119F-C2C0-464F-8E83-2768E88063D8}" name="決着時マナ" dataDxfId="0"/>
    <tableColumn id="4" xr3:uid="{48949A56-C90C-4D4E-8283-B96CD6201AFA}" name="決着時マナ合計"/>
    <tableColumn id="5" xr3:uid="{680DBB6D-CEA4-4369-8BB7-E73D8FF330A1}" name="#1マスあたり決着時マナ">
      <calculatedColumnFormula>テーブル1[[#This Row],[決着時マナ合計]]/テーブル1[[#This Row],[マスの数]]</calculatedColumnFormula>
    </tableColumn>
    <tableColumn id="6" xr3:uid="{22365318-2C81-4578-BF91-C33DB75EB6C0}" name="想定勝利ターン数"/>
    <tableColumn id="7" xr3:uid="{BA7258AA-D7F5-4BEC-8862-5B5A7B307025}" name="#マナ加速量">
      <calculatedColumnFormula>テーブル1[[#This Row],[決着時マナ合計]]-テーブル1[[#This Row],[想定勝利ターン数]]</calculatedColumnFormula>
    </tableColumn>
    <tableColumn id="8" xr3:uid="{29172D22-3387-4468-B613-2C19301E9640}" name="#マナ加速量ターン平均">
      <calculatedColumnFormula>テーブル1[[#This Row],['#マナ加速量]]/テーブル1[[#This Row],[想定勝利ターン数]]</calculatedColumnFormula>
    </tableColumn>
    <tableColumn id="9" xr3:uid="{1FFF7AFE-E17B-4B3B-95F4-47574F4C7AA5}" name="理想形の強さ(目安)"/>
    <tableColumn id="10" xr3:uid="{49C7820B-5405-4BBE-8D88-BF952540E5C0}" name="#目安強さ値の理由"/>
    <tableColumn id="11" xr3:uid="{C94F6F25-42AE-4261-8F73-06EB6845C17E}" name="ターン終了時マナ→"/>
    <tableColumn id="12" xr3:uid="{C5339246-2F17-4B56-8C8D-411772301582}" name="0"/>
    <tableColumn id="13" xr3:uid="{5ED71B59-7E34-45FD-81C9-8440098CB3DE}" name="1"/>
    <tableColumn id="14" xr3:uid="{617D571F-3115-40A6-ACC4-D93BFEF89647}" name="2"/>
    <tableColumn id="15" xr3:uid="{01FB8FE7-CDA6-47A2-8B68-C809996D2177}" name="3"/>
    <tableColumn id="16" xr3:uid="{D311F783-DA1C-44CD-A934-F15280FE0076}" name="4"/>
    <tableColumn id="17" xr3:uid="{8C124843-0428-4657-8960-4F367AD08AD9}" name="5"/>
    <tableColumn id="18" xr3:uid="{F5C773EC-6FC0-4047-8118-72C44D2C34CD}" name="6"/>
    <tableColumn id="19" xr3:uid="{0B62ADF1-AE19-4D50-807B-C5ED992A3793}" name="7"/>
    <tableColumn id="20" xr3:uid="{585131EE-4BFD-40C9-9BCB-7ECAB9BECE32}" name="8"/>
    <tableColumn id="21" xr3:uid="{E68A6F26-7537-49BD-85EB-489D8FBE31F4}" name="9"/>
    <tableColumn id="22" xr3:uid="{C4F2336F-4638-4430-8729-8A780FBCDF4E}" name="10"/>
    <tableColumn id="23" xr3:uid="{95C7D5A3-9835-4B32-A061-961D114C2EF8}" name="11"/>
    <tableColumn id="24" xr3:uid="{C31D0D87-8D50-46AA-87AE-EEF23401746A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5416-1585-4DF1-B9F9-7C6270445BD7}">
  <dimension ref="B3:Z6"/>
  <sheetViews>
    <sheetView tabSelected="1" workbookViewId="0">
      <selection activeCell="L7" sqref="L7"/>
    </sheetView>
  </sheetViews>
  <sheetFormatPr defaultRowHeight="18.75" x14ac:dyDescent="0.4"/>
  <cols>
    <col min="1" max="1" width="7.25" customWidth="1"/>
    <col min="2" max="2" width="5.625" bestFit="1" customWidth="1"/>
    <col min="3" max="3" width="15.125" bestFit="1" customWidth="1"/>
    <col min="4" max="4" width="11.25" bestFit="1" customWidth="1"/>
    <col min="5" max="5" width="13.25" bestFit="1" customWidth="1"/>
    <col min="6" max="6" width="17.375" bestFit="1" customWidth="1"/>
    <col min="7" max="7" width="26.125" bestFit="1" customWidth="1"/>
    <col min="8" max="8" width="19.5" bestFit="1" customWidth="1"/>
    <col min="9" max="9" width="13.25" customWidth="1"/>
    <col min="10" max="10" width="22.625" bestFit="1" customWidth="1"/>
    <col min="11" max="11" width="19.25" customWidth="1"/>
    <col min="12" max="12" width="98" bestFit="1" customWidth="1"/>
    <col min="13" max="13" width="19.625" customWidth="1"/>
  </cols>
  <sheetData>
    <row r="3" spans="2:26" x14ac:dyDescent="0.4">
      <c r="B3" t="s">
        <v>0</v>
      </c>
      <c r="C3" t="s">
        <v>29</v>
      </c>
      <c r="D3" t="s">
        <v>9</v>
      </c>
      <c r="E3" t="s">
        <v>1</v>
      </c>
      <c r="F3" t="s">
        <v>2</v>
      </c>
      <c r="G3" t="s">
        <v>10</v>
      </c>
      <c r="H3" t="s">
        <v>3</v>
      </c>
      <c r="I3" t="s">
        <v>4</v>
      </c>
      <c r="J3" t="s">
        <v>5</v>
      </c>
      <c r="K3" t="s">
        <v>13</v>
      </c>
      <c r="L3" t="s">
        <v>14</v>
      </c>
      <c r="M3" t="s">
        <v>6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</row>
    <row r="4" spans="2:26" x14ac:dyDescent="0.4">
      <c r="B4" t="s">
        <v>7</v>
      </c>
      <c r="C4" t="s">
        <v>30</v>
      </c>
      <c r="D4">
        <v>6</v>
      </c>
      <c r="E4" s="1" t="s">
        <v>11</v>
      </c>
      <c r="F4">
        <v>21</v>
      </c>
      <c r="G4">
        <f>テーブル1[[#This Row],[決着時マナ合計]]/テーブル1[[#This Row],[マスの数]]</f>
        <v>3.5</v>
      </c>
      <c r="H4">
        <v>8</v>
      </c>
      <c r="I4">
        <f>テーブル1[[#This Row],[決着時マナ合計]]-テーブル1[[#This Row],[想定勝利ターン数]]</f>
        <v>13</v>
      </c>
      <c r="J4">
        <f>テーブル1[[#This Row],['#マナ加速量]]/テーブル1[[#This Row],[想定勝利ターン数]]</f>
        <v>1.625</v>
      </c>
      <c r="K4">
        <v>80</v>
      </c>
      <c r="L4" s="2" t="s">
        <v>28</v>
      </c>
    </row>
    <row r="5" spans="2:26" x14ac:dyDescent="0.4">
      <c r="B5" t="s">
        <v>8</v>
      </c>
      <c r="C5" t="s">
        <v>31</v>
      </c>
      <c r="D5">
        <v>2</v>
      </c>
      <c r="E5" s="1" t="s">
        <v>12</v>
      </c>
      <c r="F5">
        <v>14</v>
      </c>
      <c r="G5">
        <f>テーブル1[[#This Row],[決着時マナ合計]]/テーブル1[[#This Row],[マスの数]]</f>
        <v>7</v>
      </c>
      <c r="H5">
        <v>5</v>
      </c>
      <c r="I5">
        <f>テーブル1[[#This Row],[決着時マナ合計]]-テーブル1[[#This Row],[想定勝利ターン数]]</f>
        <v>9</v>
      </c>
      <c r="J5">
        <f>テーブル1[[#This Row],['#マナ加速量]]/テーブル1[[#This Row],[想定勝利ターン数]]</f>
        <v>1.8</v>
      </c>
      <c r="K5">
        <v>65</v>
      </c>
      <c r="L5" t="s">
        <v>33</v>
      </c>
    </row>
    <row r="6" spans="2:26" x14ac:dyDescent="0.4">
      <c r="B6" t="s">
        <v>8</v>
      </c>
      <c r="C6" t="s">
        <v>32</v>
      </c>
      <c r="D6">
        <v>2</v>
      </c>
      <c r="E6" s="1" t="s">
        <v>34</v>
      </c>
      <c r="F6">
        <v>20</v>
      </c>
      <c r="G6">
        <f>テーブル1[[#This Row],[決着時マナ合計]]/テーブル1[[#This Row],[マスの数]]</f>
        <v>10</v>
      </c>
      <c r="H6">
        <v>10</v>
      </c>
      <c r="I6">
        <f>テーブル1[[#This Row],[決着時マナ合計]]-テーブル1[[#This Row],[想定勝利ターン数]]</f>
        <v>10</v>
      </c>
      <c r="J6">
        <f>テーブル1[[#This Row],['#マナ加速量]]/テーブル1[[#This Row],[想定勝利ターン数]]</f>
        <v>1</v>
      </c>
      <c r="K6">
        <v>90</v>
      </c>
      <c r="L6" t="s">
        <v>35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試合の流れ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Ikeno Shunichiro</dc:creator>
  <cp:lastModifiedBy>Ikeno Shunichiro</cp:lastModifiedBy>
  <dcterms:created xsi:type="dcterms:W3CDTF">2026-02-03T10:08:12Z</dcterms:created>
  <dcterms:modified xsi:type="dcterms:W3CDTF">2026-02-04T10:23:15Z</dcterms:modified>
</cp:coreProperties>
</file>